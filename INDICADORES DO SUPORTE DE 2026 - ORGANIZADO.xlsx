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der - N3\Downloads\DASHBOARD INDICADORES\"/>
    </mc:Choice>
  </mc:AlternateContent>
  <xr:revisionPtr revIDLastSave="0" documentId="13_ncr:1_{02FCF581-F69C-4462-9C7C-BA7237ED3A04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JULHO 2025" sheetId="8" state="hidden" r:id="rId1"/>
    <sheet name="AGOSTO 2025" sheetId="9" state="hidden" r:id="rId2"/>
    <sheet name="SETEMBRO 2025" sheetId="10" state="hidden" r:id="rId3"/>
    <sheet name="OUTUBRO 2025" sheetId="11" state="hidden" r:id="rId4"/>
    <sheet name="NOVEMBRO 2025" sheetId="12" state="hidden" r:id="rId5"/>
    <sheet name="DEZEMBRO 2025" sheetId="13" state="hidden" r:id="rId6"/>
    <sheet name="JANEIRO 2026" sheetId="14" r:id="rId7"/>
    <sheet name="FEVEREIRO 2026" sheetId="15" r:id="rId8"/>
    <sheet name="MARÇO 2026" sheetId="16" r:id="rId9"/>
    <sheet name="ABRIL 2026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0" l="1"/>
  <c r="L50" i="9"/>
  <c r="K50" i="9"/>
  <c r="E50" i="9"/>
  <c r="D50" i="9"/>
</calcChain>
</file>

<file path=xl/sharedStrings.xml><?xml version="1.0" encoding="utf-8"?>
<sst xmlns="http://schemas.openxmlformats.org/spreadsheetml/2006/main" count="4312" uniqueCount="1670">
  <si>
    <t>JI-PARANÁ</t>
  </si>
  <si>
    <t>OURO PRETO</t>
  </si>
  <si>
    <t>PRESIDENTE MÉDICE</t>
  </si>
  <si>
    <t>NOVA BRASILANDIA</t>
  </si>
  <si>
    <t>ALVORADA</t>
  </si>
  <si>
    <t>MACHADINHO</t>
  </si>
  <si>
    <t>ROLIM DE MOURA</t>
  </si>
  <si>
    <t>SÃO FELIPE</t>
  </si>
  <si>
    <t>-</t>
  </si>
  <si>
    <t>ALEXANDRE APARECIDO</t>
  </si>
  <si>
    <t>EDUARDO CONTE</t>
  </si>
  <si>
    <t>RAMON THIERRY</t>
  </si>
  <si>
    <t>SABRINA FERNANDES</t>
  </si>
  <si>
    <t>VINICIUS MEIRA</t>
  </si>
  <si>
    <t>VANESSA MOURA</t>
  </si>
  <si>
    <t>TOTAL</t>
  </si>
  <si>
    <t>JARU</t>
  </si>
  <si>
    <t>ALTA FLORESTA</t>
  </si>
  <si>
    <t>RAMON THIERRY BESERRA GOMES</t>
  </si>
  <si>
    <t>VINICIUS HENRIQUE MEIRA</t>
  </si>
  <si>
    <t>NELSON JADSON ALVES MACHADO</t>
  </si>
  <si>
    <t>ANA CLARA SANTANA DA SILVA</t>
  </si>
  <si>
    <t>EMANUELLY FERREIRA CAVALHEIRO</t>
  </si>
  <si>
    <t>DARA AGUIAR SOUSA</t>
  </si>
  <si>
    <t>ANA VITORIA SANTOS DE SÁ</t>
  </si>
  <si>
    <t xml:space="preserve">JUANDER BONATO </t>
  </si>
  <si>
    <t>EDUARDO CONTE DA SILVA</t>
  </si>
  <si>
    <t>VANESSA MOURA GOMES</t>
  </si>
  <si>
    <t>EBERTON PERES DE OLIVEIRA</t>
  </si>
  <si>
    <t>DIONES PEREIRA RAMOS</t>
  </si>
  <si>
    <t>ALEXANDRE APARECIDO TOZATI</t>
  </si>
  <si>
    <t>AVALIAÇÃO
 INDIVIDUAL</t>
  </si>
  <si>
    <t>O.S ABERTA 
A CAMPO</t>
  </si>
  <si>
    <t>ATENDIMENTO
EXTERNO</t>
  </si>
  <si>
    <t>ATENDIMENTO
INTERNO</t>
  </si>
  <si>
    <t>TEMPO MÉDIO
DE RESPOSTA</t>
  </si>
  <si>
    <t>A CADA 100
ATENDIMENTOS</t>
  </si>
  <si>
    <t>FÉRIAS</t>
  </si>
  <si>
    <t>VINICIUS SANTIAGO DE OLIVEIRA</t>
  </si>
  <si>
    <t>GABRIELI DOURADO MILANI</t>
  </si>
  <si>
    <t>KETLYN DOS SANTOS BALDOINO</t>
  </si>
  <si>
    <t>ANNA CLARA OLIVEIRA ANDRADE</t>
  </si>
  <si>
    <t>WILLAMY CARRILHO DE ABREU</t>
  </si>
  <si>
    <t>MÉTRICA MATRIZ JULHO 2025</t>
  </si>
  <si>
    <t>1° Quinzena (01/07 - 15/07)</t>
  </si>
  <si>
    <t>2° Quinzena (16/07 - 31/07)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</si>
  <si>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</si>
  <si>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t>Verde</t>
  </si>
  <si>
    <t>TMRC</t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</si>
  <si>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</si>
  <si>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t>Azul</t>
  </si>
  <si>
    <t>T.A</t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</si>
  <si>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</si>
  <si>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t>Amarelo</t>
  </si>
  <si>
    <t>TMR</t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</si>
  <si>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</si>
  <si>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t>Vermelho</t>
  </si>
  <si>
    <t>TME</t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</si>
  <si>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</si>
  <si>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t>Taxa de Cumprimento de SLA em (%) Ativação de Login - N2</t>
  </si>
  <si>
    <t>Quantidade de Atendimentos Realizados pela Equipe - N2</t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</si>
  <si>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</si>
  <si>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1.950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</si>
  <si>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</si>
  <si>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FLUCTUS</t>
    </r>
  </si>
  <si>
    <t>11.325</t>
  </si>
  <si>
    <t>12.849</t>
  </si>
  <si>
    <t>24.174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</si>
  <si>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</si>
  <si>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2.470</t>
  </si>
  <si>
    <t>2.537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</si>
  <si>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</si>
  <si>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96,15%</t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</si>
  <si>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</si>
  <si>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Taxa de Cliente que entrou em contato com o suporte em 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</si>
  <si>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</si>
  <si>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Quantidade total de clientes de outro setores atendido pelo suporte.</t>
  </si>
  <si>
    <t>EQUIPE DE COLABORADORES N2</t>
  </si>
  <si>
    <t>QUANTIDADE
 1ºQUINZENA</t>
  </si>
  <si>
    <t>QUANTIDADE
 2ºQUINZENA</t>
  </si>
  <si>
    <t>EQUIPE DE COLABORADORES N1</t>
  </si>
  <si>
    <t>MÉDIA
DIÁRIA</t>
  </si>
  <si>
    <t>ALESSANDRO DINIZ LOSS</t>
  </si>
  <si>
    <t xml:space="preserve">    </t>
  </si>
  <si>
    <r>
      <rPr>
        <sz val="10"/>
        <color theme="1"/>
        <rFont val="Arial"/>
      </rPr>
      <t xml:space="preserve">ANNA CLARA OLIVEIRA ANDRADE - </t>
    </r>
    <r>
      <rPr>
        <b/>
        <sz val="10"/>
        <color theme="1"/>
        <rFont val="Arial"/>
      </rPr>
      <t>TRAINEE</t>
    </r>
  </si>
  <si>
    <r>
      <rPr>
        <sz val="10"/>
        <color theme="1"/>
        <rFont val="Arial"/>
      </rPr>
      <t xml:space="preserve">ANNA HELOISA PEREIRA SILVA - </t>
    </r>
    <r>
      <rPr>
        <b/>
        <sz val="10"/>
        <color theme="1"/>
        <rFont val="Arial"/>
      </rPr>
      <t>TRAINEE</t>
    </r>
  </si>
  <si>
    <t>DANIEL ALEXANDRE ALVES DO NASCIMENTO</t>
  </si>
  <si>
    <t>DANIEL DE JESUS BESERRA</t>
  </si>
  <si>
    <t>ELIZEU SILVA DE FREITAS</t>
  </si>
  <si>
    <r>
      <rPr>
        <sz val="10"/>
        <color theme="1"/>
        <rFont val="Arial"/>
      </rPr>
      <t xml:space="preserve">GABRIELI DOURADO MILANI - </t>
    </r>
    <r>
      <rPr>
        <b/>
        <sz val="10"/>
        <color theme="1"/>
        <rFont val="Arial"/>
      </rPr>
      <t>TRAINEE</t>
    </r>
  </si>
  <si>
    <t>JOÃO VITOR PEREIRA DIAS</t>
  </si>
  <si>
    <r>
      <rPr>
        <sz val="10"/>
        <color theme="1"/>
        <rFont val="Arial"/>
      </rPr>
      <t xml:space="preserve">JOÃO VITOR CARROCIA DA ROCHA - </t>
    </r>
    <r>
      <rPr>
        <b/>
        <sz val="10"/>
        <color theme="1"/>
        <rFont val="Arial"/>
      </rPr>
      <t>TRAINEE</t>
    </r>
  </si>
  <si>
    <r>
      <rPr>
        <sz val="10"/>
        <color theme="1"/>
        <rFont val="Arial"/>
      </rPr>
      <t xml:space="preserve">KETLYN DOS SANTOS BALDOINO - </t>
    </r>
    <r>
      <rPr>
        <b/>
        <sz val="10"/>
        <color theme="1"/>
        <rFont val="Arial"/>
      </rPr>
      <t>TRAINEE</t>
    </r>
  </si>
  <si>
    <t>KHADIJA GABRIELY LEAL FIGUEIREDO</t>
  </si>
  <si>
    <r>
      <rPr>
        <sz val="10"/>
        <color theme="1"/>
        <rFont val="Arial"/>
      </rPr>
      <t xml:space="preserve">LORYAN DOS SANTOS PAULO - </t>
    </r>
    <r>
      <rPr>
        <b/>
        <sz val="10"/>
        <color theme="1"/>
        <rFont val="Arial"/>
      </rPr>
      <t>TRAINEE</t>
    </r>
  </si>
  <si>
    <r>
      <rPr>
        <sz val="10"/>
        <color theme="1"/>
        <rFont val="Arial"/>
      </rPr>
      <t xml:space="preserve">VINICIUS SANTIAGO DE OLIVEIRA - </t>
    </r>
    <r>
      <rPr>
        <b/>
        <sz val="10"/>
        <color theme="1"/>
        <rFont val="Arial"/>
      </rPr>
      <t>TRAINEE</t>
    </r>
  </si>
  <si>
    <t>VITOR DOS REIS EUGENIO</t>
  </si>
  <si>
    <r>
      <rPr>
        <sz val="10"/>
        <color theme="1"/>
        <rFont val="Arial"/>
      </rPr>
      <t xml:space="preserve">WEVERTON HENRIQUE DA SILVA CORDEIRO - </t>
    </r>
    <r>
      <rPr>
        <b/>
        <sz val="10"/>
        <color theme="1"/>
        <rFont val="Arial"/>
      </rPr>
      <t>TRAINEE</t>
    </r>
  </si>
  <si>
    <r>
      <rPr>
        <sz val="10"/>
        <color theme="1"/>
        <rFont val="Arial"/>
      </rPr>
      <t xml:space="preserve">WILLAMY CARRILHO DE ABREU - </t>
    </r>
    <r>
      <rPr>
        <b/>
        <sz val="10"/>
        <color theme="1"/>
        <rFont val="Arial"/>
      </rPr>
      <t>TRAINEE</t>
    </r>
  </si>
  <si>
    <t>1.130</t>
  </si>
  <si>
    <t>TOTAL = 11.325</t>
  </si>
  <si>
    <t>TOTAL = 4.3</t>
  </si>
  <si>
    <t>TOTAL = 1.002</t>
  </si>
  <si>
    <t>TOTAL = 62.54</t>
  </si>
  <si>
    <t>TOTAL = 00:05:11</t>
  </si>
  <si>
    <t>TOTAL = 12.849</t>
  </si>
  <si>
    <t>TOTAL = 4.1</t>
  </si>
  <si>
    <t>TOTAL = 948</t>
  </si>
  <si>
    <t>TOTAL = 58.18</t>
  </si>
  <si>
    <t>TOTAL = 00:03:40</t>
  </si>
  <si>
    <t>QUANTIDADE DE CLIENTE POR FILIAL</t>
  </si>
  <si>
    <t xml:space="preserve">TOTAL </t>
  </si>
  <si>
    <t>MÉTRICA MATRIZ AGOSTO 2025</t>
  </si>
  <si>
    <t>1° Quinzena (01/08 - 15/08)</t>
  </si>
  <si>
    <t>2° Quinzena (16/08 - 31/08)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</si>
  <si>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</si>
  <si>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</si>
  <si>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</si>
  <si>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</si>
  <si>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</si>
  <si>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</si>
  <si>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</si>
  <si>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1.615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</si>
  <si>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</si>
  <si>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</si>
  <si>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1.817</t>
  </si>
  <si>
    <t>3.558</t>
  </si>
  <si>
    <t>5.375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</si>
  <si>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</si>
  <si>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2.548</t>
  </si>
  <si>
    <t>2.358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</si>
  <si>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</si>
  <si>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</si>
  <si>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PROTOCOLADOS 
 1ºQUINZENA</t>
  </si>
  <si>
    <t>MÉDIA
DIÁRIA O.S</t>
  </si>
  <si>
    <t>ANNA HELOISA PEREIRA SILVA</t>
  </si>
  <si>
    <r>
      <rPr>
        <sz val="10"/>
        <color theme="1"/>
        <rFont val="Arial"/>
      </rPr>
      <t xml:space="preserve">JOÃO VITOR CARROCIA DA ROCHA - </t>
    </r>
    <r>
      <rPr>
        <b/>
        <sz val="10"/>
        <color theme="1"/>
        <rFont val="Arial"/>
      </rPr>
      <t>TRAINEE</t>
    </r>
  </si>
  <si>
    <t>KEVIN WILLIAN OLIVEIRA RAMOS</t>
  </si>
  <si>
    <r>
      <rPr>
        <sz val="10"/>
        <color theme="1"/>
        <rFont val="Arial"/>
      </rPr>
      <t xml:space="preserve">LORYAN DOS SANTOS PAULO - </t>
    </r>
    <r>
      <rPr>
        <b/>
        <sz val="10"/>
        <color theme="1"/>
        <rFont val="Arial"/>
      </rPr>
      <t>TRAINEE</t>
    </r>
  </si>
  <si>
    <r>
      <rPr>
        <sz val="10"/>
        <color theme="1"/>
        <rFont val="Arial"/>
      </rPr>
      <t xml:space="preserve">WEVERTON HENRIQUE DA SILVA CORDEIRO - </t>
    </r>
    <r>
      <rPr>
        <b/>
        <sz val="10"/>
        <color theme="1"/>
        <rFont val="Arial"/>
      </rPr>
      <t>TRAINEE</t>
    </r>
  </si>
  <si>
    <t>150</t>
  </si>
  <si>
    <t>TOTAL = 982</t>
  </si>
  <si>
    <t>TOTAL = 835</t>
  </si>
  <si>
    <t>TOTAL =00:03:32</t>
  </si>
  <si>
    <t>TOTAL = 2.778</t>
  </si>
  <si>
    <t>TOTAL = 780</t>
  </si>
  <si>
    <t>TOTAL = 00:03:47</t>
  </si>
  <si>
    <t>OCÔRRENCIAS</t>
  </si>
  <si>
    <t>DATA</t>
  </si>
  <si>
    <t>CIDADE</t>
  </si>
  <si>
    <t xml:space="preserve">Causas </t>
  </si>
  <si>
    <t>Tempo OFF</t>
  </si>
  <si>
    <t>OLT RDM-CNT-COA (down)</t>
  </si>
  <si>
    <t>Ouro Preto</t>
  </si>
  <si>
    <t>Site SAM (Regiao Pa belo horizonte GALO velho FIBRA) OFF</t>
  </si>
  <si>
    <t>Machadinho</t>
  </si>
  <si>
    <t>SJS (LJ4 após a ponte Belem), FPE (MA 16), SJL (Lj4 ),
 SMC (Pé de Galinha), SMA (Palma ruda Barragem), 
SJR (MA32) e SAL (Pedra redonda)</t>
  </si>
  <si>
    <t xml:space="preserve">POP cidade Alta </t>
  </si>
  <si>
    <t>Rolim de Moura</t>
  </si>
  <si>
    <t>rompimento em novo riachuelo (RCHU)</t>
  </si>
  <si>
    <t>Novo Riachuelo</t>
  </si>
  <si>
    <t>instabilidade link</t>
  </si>
  <si>
    <t>GERAL</t>
  </si>
  <si>
    <t>T9 - SVI-  linha 11 (126 ) Norte, 09 (130) Norte</t>
  </si>
  <si>
    <t>Nova Brasilândia</t>
  </si>
  <si>
    <t>duplo rompimento no link principal</t>
  </si>
  <si>
    <t>torre NETMAIS-NBA-SVI inoperante</t>
  </si>
  <si>
    <t>NBO</t>
  </si>
  <si>
    <t>POP inoperante, 3 castanheira e linha gaucha offi-line</t>
  </si>
  <si>
    <t>Castanheira</t>
  </si>
  <si>
    <t>Pon 7/8 off devido substituição de spliters</t>
  </si>
  <si>
    <t>Ji-Paraná</t>
  </si>
  <si>
    <t>manutenção torre WM-AAPC-GRV-A</t>
  </si>
  <si>
    <t>Alto alegre</t>
  </si>
  <si>
    <t>caiu ráio na torre izidolandia</t>
  </si>
  <si>
    <t>Izidolandia</t>
  </si>
  <si>
    <t>MÉTRICA MATRIZ SETEMBRO 2025</t>
  </si>
  <si>
    <t>1° Quinzena (01/09 - 15/09)</t>
  </si>
  <si>
    <t>2° Quinzena (16/09 - 30/09)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</si>
  <si>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</si>
  <si>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</si>
  <si>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</si>
  <si>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</si>
  <si>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</si>
  <si>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4.22</t>
  </si>
  <si>
    <t>4.21</t>
  </si>
  <si>
    <r>
      <rPr>
        <sz val="12"/>
        <color theme="1"/>
        <rFont val="Arial"/>
      </rPr>
      <t xml:space="preserve">Quantidade total de clientes de outro setores atendido pelo suporte.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</si>
  <si>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</si>
  <si>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</si>
  <si>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2.246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</si>
  <si>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</si>
  <si>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</si>
  <si>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3.047</t>
  </si>
  <si>
    <t>6.081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</si>
  <si>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</si>
  <si>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512</t>
  </si>
  <si>
    <t>552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</si>
  <si>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</si>
  <si>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96,48%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</si>
  <si>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</si>
  <si>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OFF TIME - COMERCIAL       /         OFF TIME- FINANCEIRO</t>
  </si>
  <si>
    <t>NOMES N2</t>
  </si>
  <si>
    <t>NOMES N1</t>
  </si>
  <si>
    <t>PONTUAÇÃO</t>
  </si>
  <si>
    <t>ANA SANTANA</t>
  </si>
  <si>
    <t xml:space="preserve">ANA VITORIA </t>
  </si>
  <si>
    <t xml:space="preserve">ANNA CLARA </t>
  </si>
  <si>
    <t>00:11:59 ⚠️</t>
  </si>
  <si>
    <t>ANNA HELOISA</t>
  </si>
  <si>
    <t>BRUNO MATHEUS ROSSOW DE ASSIS</t>
  </si>
  <si>
    <t>BRUNO MATHEUS</t>
  </si>
  <si>
    <t xml:space="preserve">DANIEL ALEXANDRE </t>
  </si>
  <si>
    <t>00:08:00 ⚠️</t>
  </si>
  <si>
    <t xml:space="preserve">DANIEL DE JESUS </t>
  </si>
  <si>
    <t xml:space="preserve">DARA AGUIAR </t>
  </si>
  <si>
    <t xml:space="preserve">EBERTON PERES </t>
  </si>
  <si>
    <t>ELIZEU SILVA</t>
  </si>
  <si>
    <t xml:space="preserve">EMANUELLY </t>
  </si>
  <si>
    <t>GABRIELI DOURADO</t>
  </si>
  <si>
    <t xml:space="preserve">JOÃO VITOR PEREIRA </t>
  </si>
  <si>
    <r>
      <rPr>
        <sz val="10"/>
        <color theme="1"/>
        <rFont val="Arial"/>
      </rPr>
      <t xml:space="preserve">JOÃO VITOR CARROCIA DA ROCHA - </t>
    </r>
    <r>
      <rPr>
        <b/>
        <sz val="10"/>
        <color theme="1"/>
        <rFont val="Arial"/>
      </rPr>
      <t>TRAINEE</t>
    </r>
  </si>
  <si>
    <t xml:space="preserve">JOÃO VITOR CARROCIA </t>
  </si>
  <si>
    <t>00:20:44 ⚠️</t>
  </si>
  <si>
    <t>KETLYN DOS SANTOS</t>
  </si>
  <si>
    <t xml:space="preserve">KEVIN WILLIAN </t>
  </si>
  <si>
    <t>KHADIJA GABRIELY</t>
  </si>
  <si>
    <r>
      <rPr>
        <sz val="10"/>
        <color theme="1"/>
        <rFont val="Arial"/>
      </rPr>
      <t xml:space="preserve">LORYAN DOS SANTOS PAULO - </t>
    </r>
    <r>
      <rPr>
        <b/>
        <sz val="10"/>
        <color theme="1"/>
        <rFont val="Arial"/>
      </rPr>
      <t>TRAINEE</t>
    </r>
  </si>
  <si>
    <t xml:space="preserve">LORYAN DOS SANTOS </t>
  </si>
  <si>
    <t xml:space="preserve">NELSON JADSON </t>
  </si>
  <si>
    <t>VINICIUS SANTIAGO</t>
  </si>
  <si>
    <t>00:13:42 ⚠️</t>
  </si>
  <si>
    <t>VITOR DOS REIS</t>
  </si>
  <si>
    <r>
      <rPr>
        <sz val="10"/>
        <color theme="1"/>
        <rFont val="Arial"/>
      </rPr>
      <t xml:space="preserve">WEVERTON HENRIQUE DA SILVA CORDEIRO - </t>
    </r>
    <r>
      <rPr>
        <b/>
        <sz val="10"/>
        <color theme="1"/>
        <rFont val="Arial"/>
      </rPr>
      <t>TRAINEE</t>
    </r>
  </si>
  <si>
    <t>WEVERTON HENRIQUE</t>
  </si>
  <si>
    <t>00:16:11 ⚠️</t>
  </si>
  <si>
    <t>160</t>
  </si>
  <si>
    <t>WILLAMY CARRILHO</t>
  </si>
  <si>
    <t>TOTAL = 1.892</t>
  </si>
  <si>
    <t>TOTAL = 1.142</t>
  </si>
  <si>
    <t>TOTAL = 4.22</t>
  </si>
  <si>
    <t>TOTAL = 3,29</t>
  </si>
  <si>
    <t>TOTAL = 00:06:39</t>
  </si>
  <si>
    <t>TOTAL = 1.943</t>
  </si>
  <si>
    <t>TOTAL = 1.104</t>
  </si>
  <si>
    <t>TOTAL = 4.21</t>
  </si>
  <si>
    <t>TOTAL = 00:05:56</t>
  </si>
  <si>
    <t>MOTIVO</t>
  </si>
  <si>
    <t>TEMPO OFF</t>
  </si>
  <si>
    <t>duplo rompimento - NBS</t>
  </si>
  <si>
    <t>Duplo rompimento</t>
  </si>
  <si>
    <t>FILA DO FLUCTUS COM DEFEITO, NÃO CAI ATENDIMENTO - 252</t>
  </si>
  <si>
    <t>FILA DO FLUCTUS COM DEFEITO</t>
  </si>
  <si>
    <t>rompimento próximo ao presidio pon 11-1</t>
  </si>
  <si>
    <t xml:space="preserve">Rompimento </t>
  </si>
  <si>
    <t>Izidrolandia off fibra e radio</t>
  </si>
  <si>
    <t>Izidrolandia</t>
  </si>
  <si>
    <t>Região da 5 Linha em Nova Londrina off</t>
  </si>
  <si>
    <t>Nova Londrina</t>
  </si>
  <si>
    <t>Sem energia e Fibra Rompida</t>
  </si>
  <si>
    <t xml:space="preserve">olt Fiberhome - UNI-JIP-AUB-COA </t>
  </si>
  <si>
    <t>UNM parou o gerenciamento</t>
  </si>
  <si>
    <t>Clientes não ficaram off</t>
  </si>
  <si>
    <t>MILLENIUM-TXP-TLD torre offline</t>
  </si>
  <si>
    <t>Alvorada</t>
  </si>
  <si>
    <t>Torre inoperante</t>
  </si>
  <si>
    <t xml:space="preserve"> -10.88488, -61.89684 CTO off</t>
  </si>
  <si>
    <t>Poste realocado</t>
  </si>
  <si>
    <t>linhas 122(17), 118(21), 114, 110, 106 e 102 LADO SUL sentirão
 lentidão devido a t51 estar inoperante</t>
  </si>
  <si>
    <t>Torre Inoperante</t>
  </si>
  <si>
    <t>Torre SISTEM siglas EMS, MQC, SOQ</t>
  </si>
  <si>
    <t>08H08 ÀS 11H06</t>
  </si>
  <si>
    <t>Rolim de Moura Av Fortaleza, Bairro Industrial CTO's &gt;  180 , 181 , 182 , 183 , 958</t>
  </si>
  <si>
    <t>Rompimento</t>
  </si>
  <si>
    <t>Quin. 14h25 ah Sext. 09h56</t>
  </si>
  <si>
    <t xml:space="preserve">5 Linha em Nova Londrina off </t>
  </si>
  <si>
    <t>Manutenção</t>
  </si>
  <si>
    <r>
      <rPr>
        <b/>
        <sz val="10"/>
        <color rgb="FF333333"/>
        <rFont val="Arial"/>
      </rPr>
      <t xml:space="preserve"> M</t>
    </r>
    <r>
      <rPr>
        <b/>
        <sz val="10"/>
        <color rgb="FF333333"/>
        <rFont val="Arial"/>
      </rPr>
      <t>achadinho na av. getulio vargas Transmissor UNI-MACH-RAR-COA</t>
    </r>
  </si>
  <si>
    <t>MACHADINHO DOESTE</t>
  </si>
  <si>
    <t>POP de Novo Horizonte off</t>
  </si>
  <si>
    <t>Novo Horizonte</t>
  </si>
  <si>
    <t>06h37 às 09h54</t>
  </si>
  <si>
    <t>GIGA-JAW-LIB-COA (OLT FIBERHOME) toda PON off</t>
  </si>
  <si>
    <t>Jaru</t>
  </si>
  <si>
    <t>Painel SLJ -CWC T59 Inoperante, Linha 138 km 8 Sul.</t>
  </si>
  <si>
    <t>São Felippe</t>
  </si>
  <si>
    <t>Painél inoperante</t>
  </si>
  <si>
    <t>09h07 às 11h23</t>
  </si>
  <si>
    <t xml:space="preserve">Torre ADM-A e SRR-A off </t>
  </si>
  <si>
    <t>São Felipe</t>
  </si>
  <si>
    <t>Torre off das 08h25 Às 11h35</t>
  </si>
  <si>
    <t>-10.917560501481992, -61.90578045323653 CTO off</t>
  </si>
  <si>
    <t xml:space="preserve"> trocas de cabos</t>
  </si>
  <si>
    <t>10h40 às 12h16</t>
  </si>
  <si>
    <t>ZTE - UNI-JIP-ABL-COB 2 PON off Rua Rio Madeira</t>
  </si>
  <si>
    <t>Regulagem de sinal</t>
  </si>
  <si>
    <t>09h37 às 10h08</t>
  </si>
  <si>
    <t>4º ate a 6º linha off</t>
  </si>
  <si>
    <t xml:space="preserve">nova londrina </t>
  </si>
  <si>
    <t>Rompimento de ramal</t>
  </si>
  <si>
    <t>17h10 às -</t>
  </si>
  <si>
    <t>UNI-MACH-SOJ-CWE</t>
  </si>
  <si>
    <t>Quart. 09h07 à Quint. 08h56</t>
  </si>
  <si>
    <t>Torre MRA, LZA, FTA off</t>
  </si>
  <si>
    <t>Alta Floresta</t>
  </si>
  <si>
    <t>16h12 à 18h21</t>
  </si>
  <si>
    <t xml:space="preserve"> Torre IZI-CNT, IZI-CQE e IZI-CVV off</t>
  </si>
  <si>
    <t xml:space="preserve">Troca de Router Board </t>
  </si>
  <si>
    <t>16h38 à 18h53</t>
  </si>
  <si>
    <t>NETMAIS-NBA-SEV-CWB off</t>
  </si>
  <si>
    <t xml:space="preserve">Torre inoperante </t>
  </si>
  <si>
    <t>06h50 à -</t>
  </si>
  <si>
    <t>Segundo distrito off</t>
  </si>
  <si>
    <t>15h01 à 15h34</t>
  </si>
  <si>
    <t>Torre T34, painel CWD da Linha 144 km 8 Sul off</t>
  </si>
  <si>
    <t>Migrantinopolis</t>
  </si>
  <si>
    <t>17h46 à -</t>
  </si>
  <si>
    <t xml:space="preserve">linhas 114, 118, 27 - Lentidão </t>
  </si>
  <si>
    <t>Terra Boa - cidade de Alvorada</t>
  </si>
  <si>
    <t xml:space="preserve">17h52 à - </t>
  </si>
  <si>
    <t>WM-SOFP-GRM off</t>
  </si>
  <si>
    <t>Problema de vpls</t>
  </si>
  <si>
    <t>06h30 à 06h33</t>
  </si>
  <si>
    <t>OLT de Porto Rolim offline</t>
  </si>
  <si>
    <t>Sem conexão</t>
  </si>
  <si>
    <t>08h01 à -</t>
  </si>
  <si>
    <t>UNI-MACH-SOJ-CWI</t>
  </si>
  <si>
    <t>Equipamento Queimado</t>
  </si>
  <si>
    <t>08:06 ás 21:45</t>
  </si>
  <si>
    <t>MACH-SBM-CWF</t>
  </si>
  <si>
    <t>UNI-CUJU-GRD (MC 07) e UNI-CUJU-SNR off</t>
  </si>
  <si>
    <t>Dom. 08:06 ás -</t>
  </si>
  <si>
    <t>UNI-MACH-BEC</t>
  </si>
  <si>
    <t>5°BEC</t>
  </si>
  <si>
    <t>Falta de energia no POP</t>
  </si>
  <si>
    <t>07:45 ás -</t>
  </si>
  <si>
    <t xml:space="preserve"> Getúlio Vargas  -9.42449564134511, -62.00102078584956 ( RUA OFF )</t>
  </si>
  <si>
    <t>10:00 ás -</t>
  </si>
  <si>
    <t>Painel WM-SOFP-SRR-CWR / Torre da Serra- off</t>
  </si>
  <si>
    <t xml:space="preserve">São Felipe </t>
  </si>
  <si>
    <t xml:space="preserve">Painel off </t>
  </si>
  <si>
    <t>17h15 à -</t>
  </si>
  <si>
    <t>9ª, 8ª e 10ª Linha off</t>
  </si>
  <si>
    <t xml:space="preserve">Alvorada Doeste </t>
  </si>
  <si>
    <t>POP inoperante</t>
  </si>
  <si>
    <t xml:space="preserve">Seg. 17h44 à - </t>
  </si>
  <si>
    <t>Torre AAPC-BTA</t>
  </si>
  <si>
    <t>Alto Alegre</t>
  </si>
  <si>
    <t xml:space="preserve">07h58 à - </t>
  </si>
  <si>
    <t>Linha 80 Torre off</t>
  </si>
  <si>
    <t>Ouro Preto do Oeste</t>
  </si>
  <si>
    <t xml:space="preserve">17h25 à - </t>
  </si>
  <si>
    <t>Teixerópolis e região com instabilidades</t>
  </si>
  <si>
    <t>Teixerópolis</t>
  </si>
  <si>
    <t>15h26 à 18h20</t>
  </si>
  <si>
    <t xml:space="preserve">Clientes COA e COB não estão ficando off no UNM </t>
  </si>
  <si>
    <t>Problema de gerenciamento</t>
  </si>
  <si>
    <t>Quar.13h38 à Quin. 08h00</t>
  </si>
  <si>
    <t>Fiberhome - UNI-JIP-NVB-COA off -10.908063510201524, -61.932280635582096</t>
  </si>
  <si>
    <t>Apliação de CTO</t>
  </si>
  <si>
    <t>08h41 à 10h44</t>
  </si>
  <si>
    <t>NETMAIS-SMGE-STN-CWA Torre off</t>
  </si>
  <si>
    <t xml:space="preserve">Santana </t>
  </si>
  <si>
    <t>Painl off</t>
  </si>
  <si>
    <t>11h10 à -</t>
  </si>
  <si>
    <t>Torre AFL-LZA off</t>
  </si>
  <si>
    <t xml:space="preserve">Alta Floresta </t>
  </si>
  <si>
    <t>11h37 à -</t>
  </si>
  <si>
    <t>T5-SEB / T40 PED / T51- MRD/ T41- SCL .
 Clientes afetados das linhas 118 sul/ 114 sul / 110 sul /108 (Região rural)</t>
  </si>
  <si>
    <t>Nova Brasilândia e Santana</t>
  </si>
  <si>
    <t>Torre em redundância</t>
  </si>
  <si>
    <t>15h29n á -</t>
  </si>
  <si>
    <t>Rompimento na linha Gaucha</t>
  </si>
  <si>
    <t>Rompimento de fibra</t>
  </si>
  <si>
    <t>15h34 à -</t>
  </si>
  <si>
    <t>Rua Onofre Duarte de Oliveira n 3601 setor 06</t>
  </si>
  <si>
    <t xml:space="preserve">             Onibus derrubou o poste na rua</t>
  </si>
  <si>
    <t xml:space="preserve">                      13:00 á</t>
  </si>
  <si>
    <t>NETMAIS-NBA-SCL-CWD</t>
  </si>
  <si>
    <t xml:space="preserve">            Torre com quedas frequentes</t>
  </si>
  <si>
    <t xml:space="preserve">                                                            NETMAIS-NBA-MRD-CWC</t>
  </si>
  <si>
    <t xml:space="preserve">                                                              WM-SOFP-LND-CWA</t>
  </si>
  <si>
    <t xml:space="preserve">                    VPLS da torre parada</t>
  </si>
  <si>
    <t xml:space="preserve">Várias caixas de atendimentos sem sinal </t>
  </si>
  <si>
    <t>CTO'S SEM SINAL</t>
  </si>
  <si>
    <t>Domi. 17h55 à Seg. 08h00</t>
  </si>
  <si>
    <t>Caixa de atendimento com sinal alto</t>
  </si>
  <si>
    <t>CTO SEM SINAL</t>
  </si>
  <si>
    <t>11h10 à - 16:00</t>
  </si>
  <si>
    <t>torre UNI-SOFP-LND off</t>
  </si>
  <si>
    <t xml:space="preserve">Falta de energia </t>
  </si>
  <si>
    <t>15h17 à 16h04</t>
  </si>
  <si>
    <t xml:space="preserve">UNI-MACH-EAZ-COA (ZTE) olt off </t>
  </si>
  <si>
    <t>UNI - MACHADINHO DOESTE</t>
  </si>
  <si>
    <t xml:space="preserve">Equipamento travado </t>
  </si>
  <si>
    <t>21h23 à 23h26</t>
  </si>
  <si>
    <t>Rompimento entre RMM e SKZ</t>
  </si>
  <si>
    <t>16:30 á -</t>
  </si>
  <si>
    <t>POP UZZY-PYM-SEA que atende o KM20</t>
  </si>
  <si>
    <t>Presidente Medice</t>
  </si>
  <si>
    <t>17:27 á -</t>
  </si>
  <si>
    <t>UZZY-PYM-VCM e UZZY-JIP-NLD</t>
  </si>
  <si>
    <t xml:space="preserve">17:30 á - </t>
  </si>
  <si>
    <t>Alto Alegre aparetemente off</t>
  </si>
  <si>
    <t>Off</t>
  </si>
  <si>
    <t>16:06 á - 18:13</t>
  </si>
  <si>
    <t>TROCA DE POP NA CIDADE ALTA</t>
  </si>
  <si>
    <t xml:space="preserve">                     POP NA CIDADE ALTA</t>
  </si>
  <si>
    <t>00 á - 02:00</t>
  </si>
  <si>
    <t>Pop UZZY-PYM-SJC OLT/  47 cliente OFFI-LINE/ Pon 2/ Pon 4/ localização 5° lh</t>
  </si>
  <si>
    <t>Rompimento ou Falta de energia</t>
  </si>
  <si>
    <t>9:47 á - 17:18</t>
  </si>
  <si>
    <t>POP cidade alta em RMM.</t>
  </si>
  <si>
    <t>troca do equipamento</t>
  </si>
  <si>
    <t>01h á - 3:41h</t>
  </si>
  <si>
    <t xml:space="preserve">rompimento na fibra principal 1km depois da cidade de Migrantinopolis -
nbs locais e todos clientes das linhas 148 sul e norte, 152 sul e norte e 25 sentido Rolim </t>
  </si>
  <si>
    <t>rompimento na fibra</t>
  </si>
  <si>
    <t>13:49h á 17:25h</t>
  </si>
  <si>
    <t>PYM-SAN off</t>
  </si>
  <si>
    <t>off / Manutenção</t>
  </si>
  <si>
    <t>18:20 á - 11:03</t>
  </si>
  <si>
    <t>substituição da BORDA de MACH
retirada do NE800 M8 para encaminhamento a base de JIP</t>
  </si>
  <si>
    <t>01:30 á 3:30</t>
  </si>
  <si>
    <t>Torre UNI-ADW-CAL off</t>
  </si>
  <si>
    <t>13:53 á 17:27h</t>
  </si>
  <si>
    <t>140 SUL /NORTE - Linha 138 Sul/  clientes fibras -  Rádios em redundância off
Equipe de infraestrutura está fazendo manutenção preventiva</t>
  </si>
  <si>
    <t>NBO e Dist. de Migrantenopolis</t>
  </si>
  <si>
    <r>
      <rPr>
        <b/>
        <sz val="10"/>
        <color theme="1"/>
        <rFont val="Arial"/>
      </rPr>
      <t>Manute</t>
    </r>
    <r>
      <rPr>
        <b/>
        <sz val="10"/>
        <color theme="1"/>
        <rFont val="Arial"/>
      </rPr>
      <t>nção</t>
    </r>
  </si>
  <si>
    <t xml:space="preserve">16:42 á - </t>
  </si>
  <si>
    <t xml:space="preserve"> Atualização dos equipamentos Huawei da base de RMM</t>
  </si>
  <si>
    <t>Manutenção/ Atualização</t>
  </si>
  <si>
    <t>01h ás 3hr</t>
  </si>
  <si>
    <t>Torre SISTEM-IZI-FLD off</t>
  </si>
  <si>
    <t>8:28 á - 10:46h</t>
  </si>
  <si>
    <t>Troca da OLT - Casulo PBW-APC / troca pois está sem gerencia a OLT Ubiquiti</t>
  </si>
  <si>
    <t>Pimenta Bueno</t>
  </si>
  <si>
    <t xml:space="preserve"> Manutenção/ Troca de OLT</t>
  </si>
  <si>
    <t>8:56 á - 10:26h</t>
  </si>
  <si>
    <t>Torre SOFP-LND - manutenção - off por instantes</t>
  </si>
  <si>
    <t>11:43h á - 13:51H</t>
  </si>
  <si>
    <t>T23 - transmissor SRN- linha 144 norte e T27 - transmissor SSS-
 linha 25 entre a linhas 138 e 140 off</t>
  </si>
  <si>
    <t xml:space="preserve">15:34 á - </t>
  </si>
  <si>
    <t>Torre T38-NETMAIS-NBA-ADR Linha 25 km (RO 010) sentido Rolim</t>
  </si>
  <si>
    <t>17:18 á -</t>
  </si>
  <si>
    <t>Migração de um Switch no POP de Alto Alegre dos Parecis</t>
  </si>
  <si>
    <t>Alto Alegre dos Parecis</t>
  </si>
  <si>
    <t>01h00 á 4:45h</t>
  </si>
  <si>
    <t>SUPORTE MATRIZ SEM INTERNET</t>
  </si>
  <si>
    <t>Manutenção NOC</t>
  </si>
  <si>
    <t>11:25: á -</t>
  </si>
  <si>
    <t>LINK GERAL DOWN</t>
  </si>
  <si>
    <t>Falha no recebimento da operadora</t>
  </si>
  <si>
    <t>11:30 ás 19:49</t>
  </si>
  <si>
    <t xml:space="preserve">UNI-MACH-SCB-CWE transmissor travou </t>
  </si>
  <si>
    <t xml:space="preserve">Transmissor inoperante </t>
  </si>
  <si>
    <t>7:45 á - 8:11h</t>
  </si>
  <si>
    <t>MILLENIUM-ADW-SZR-CWD encontra-se offline</t>
  </si>
  <si>
    <t xml:space="preserve"> ALVORADA DOESTE</t>
  </si>
  <si>
    <t>8:45 á -</t>
  </si>
  <si>
    <t>UNI-MACH-SPA apresenta instabilidade</t>
  </si>
  <si>
    <t>Painél com instabilidade</t>
  </si>
  <si>
    <t>8:50 á -</t>
  </si>
  <si>
    <t>NOC e AGENDAMENTO de Rolim inativos por 20 minutos - sem enregia no local</t>
  </si>
  <si>
    <t>Sem energia</t>
  </si>
  <si>
    <t>- 20 minutos</t>
  </si>
  <si>
    <t>migração da *OLT FIBERHOME – UNI-JIP-ABL-COA* para a *OLT ZTE – UNI-JIP-ABL-COB*.</t>
  </si>
  <si>
    <t>13:23h</t>
  </si>
  <si>
    <t xml:space="preserve">CTO- 10.01 Vale do Anari SLOT 11 PON 1 </t>
  </si>
  <si>
    <t xml:space="preserve">Caminhão rancou os fios </t>
  </si>
  <si>
    <t>15:30 á - 16:19h</t>
  </si>
  <si>
    <t>Manutenção cto vai parar alguns clientes ,substituição da cto ,e duplicação - Nova Brasília</t>
  </si>
  <si>
    <t xml:space="preserve">9:17 á - </t>
  </si>
  <si>
    <t>Manutenção no POP de PIVR-DQR - afetando: WM-PIVR-LBBA ; WM-SOFP-FMD-A 
WM-PIVR-FAN-A; WM-PIVR-DQR-A - afetando 
Querência do Norte. Flor da Selva e Assentamento Banco do Brasil</t>
  </si>
  <si>
    <t>15:14 á - 17:29h</t>
  </si>
  <si>
    <t>UNI-MACH-SCB, torre com quedas</t>
  </si>
  <si>
    <t>16:33 á -</t>
  </si>
  <si>
    <t>SISTEM-RMM-COO - SISTEM-RMM-TVA -  UNI-PYM-SAC-CWA - SISTEM-RMM-ADS
Torres offline</t>
  </si>
  <si>
    <t>Rolim de Moura /
 PRESIDENTE MEDICI</t>
  </si>
  <si>
    <t>18:42 á - 20:59h</t>
  </si>
  <si>
    <t>Torre UNI-RMM-CSS esta offline</t>
  </si>
  <si>
    <t>17:06 á - 9:07hh</t>
  </si>
  <si>
    <t>MÉTRICA MATRIZ OUTUBRO 2025</t>
  </si>
  <si>
    <t>1° Quinzena (01/10 - 15/10)</t>
  </si>
  <si>
    <t>2° Quinzena (16/10 - 31/10)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</si>
  <si>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</si>
  <si>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</si>
  <si>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</si>
  <si>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</si>
  <si>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</si>
  <si>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4.40</t>
  </si>
  <si>
    <t>4.32</t>
  </si>
  <si>
    <t>4.36</t>
  </si>
  <si>
    <r>
      <rPr>
        <sz val="12"/>
        <color theme="1"/>
        <rFont val="Arial"/>
      </rPr>
      <t xml:space="preserve">Quantidade total de clientes de outro setores atendido pelo suporte.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</si>
  <si>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</si>
  <si>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</si>
  <si>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2.026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</si>
  <si>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</si>
  <si>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</si>
  <si>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2.931</t>
  </si>
  <si>
    <t>5.657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</si>
  <si>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</si>
  <si>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443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</si>
  <si>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</si>
  <si>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95,7%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</si>
  <si>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</si>
  <si>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11                 /               0</t>
  </si>
  <si>
    <t>QUANTIDADE
DE ATENDIMENTO
FLUCTUS</t>
  </si>
  <si>
    <t>PROTOCOLADOS 
 2ºQUINZENA</t>
  </si>
  <si>
    <t>MIGRAÇÃO
DE
TITULARIDADE</t>
  </si>
  <si>
    <t>482 (SUP INT)</t>
  </si>
  <si>
    <t>110,81 ⚠️</t>
  </si>
  <si>
    <t>88 (SUP INT)</t>
  </si>
  <si>
    <t>225,64 ⚠️</t>
  </si>
  <si>
    <t>JOÃO VITOR CARROCIA DA ROCHA</t>
  </si>
  <si>
    <t>125,93 ⚠️</t>
  </si>
  <si>
    <t>131,25 ⚠️</t>
  </si>
  <si>
    <t>LORYAN DOS SANTOS PAULO</t>
  </si>
  <si>
    <t>140,00 ⚠️</t>
  </si>
  <si>
    <t>53 (SUP INT)</t>
  </si>
  <si>
    <t>117,78 ⚠️</t>
  </si>
  <si>
    <t>WELINGTON SOUZA PINTO</t>
  </si>
  <si>
    <t xml:space="preserve">WELINGTON SOUZA </t>
  </si>
  <si>
    <t>186,67 ⚠️</t>
  </si>
  <si>
    <t xml:space="preserve">WEVERTON HENRIQUE DA SILVA CORDEIRO </t>
  </si>
  <si>
    <t>157</t>
  </si>
  <si>
    <t>544</t>
  </si>
  <si>
    <t>NPS = 4.40</t>
  </si>
  <si>
    <t>TMR = 00:02:44</t>
  </si>
  <si>
    <t>NPS=4.32</t>
  </si>
  <si>
    <t>00:03:53</t>
  </si>
  <si>
    <t>Migração e ampliação de cto - -10.886222, -61.929611</t>
  </si>
  <si>
    <t>Manuteção</t>
  </si>
  <si>
    <t xml:space="preserve">8:46 á - </t>
  </si>
  <si>
    <t>pop com sigla SAN e SAZ - efetuando troca de baterias - off por alguns minutos</t>
  </si>
  <si>
    <t>PRESIDENTE MEDICI</t>
  </si>
  <si>
    <t>Troca de baeterias</t>
  </si>
  <si>
    <t>9:15 á - 9:40h</t>
  </si>
  <si>
    <t>Rompimento de ramal em castanheiras</t>
  </si>
  <si>
    <t>Castanheiras</t>
  </si>
  <si>
    <t>11:14 á - 15:59h</t>
  </si>
  <si>
    <t xml:space="preserve">desligamento na Torre AFL-EDN, mas já restabelecido </t>
  </si>
  <si>
    <t>ALTA FLORESTA DOESTE</t>
  </si>
  <si>
    <t>11:48 h</t>
  </si>
  <si>
    <t>instabilidade em um dos enlaces de rádio, afetando as torres: MACH-SSG, MACH-SGD, MACH-SMP</t>
  </si>
  <si>
    <t xml:space="preserve">Instabilidade na Torre </t>
  </si>
  <si>
    <t>8:57 á -  9:47h</t>
  </si>
  <si>
    <t>falha massiva elétrica em Presidente Médici e regiao, pons demora um pouco para subir caso</t>
  </si>
  <si>
    <t>Instabilidade</t>
  </si>
  <si>
    <t>11:55 á - 12:58h</t>
  </si>
  <si>
    <t>rompimento na agrovila 4 e 5 regiao de presidente Médici</t>
  </si>
  <si>
    <t>13:02 á -</t>
  </si>
  <si>
    <t xml:space="preserve">Torre  UNI-MACH-SSG parada </t>
  </si>
  <si>
    <t>11:30 á - 15:49h</t>
  </si>
  <si>
    <t>NETMAIS-NHDO-EVG-CWA torre off</t>
  </si>
  <si>
    <t xml:space="preserve"> NOVA BRASILANDIA DOESTE</t>
  </si>
  <si>
    <t>16:05 á -</t>
  </si>
  <si>
    <t>torre com sigla SNC esta off, torre atende linha 128/132 regiao do estrela de rondonia</t>
  </si>
  <si>
    <t>Estrela de Rondonia</t>
  </si>
  <si>
    <t>16:15 á - 9:28h .03/10</t>
  </si>
  <si>
    <t>Enlace de Radio Digital de UNI-AAPC-PQA &gt; UNI-IZI-SCR 
 com modulações , gerando quedas e instabilidades</t>
  </si>
  <si>
    <t xml:space="preserve">17:49 á - </t>
  </si>
  <si>
    <t>Rompimento na rota que liga Rolim de Moura a Santa Luzia e Alta Floresta e  Alto Alegre</t>
  </si>
  <si>
    <t>Alta Floresta, Santa Luzia
 e Alto Alegre</t>
  </si>
  <si>
    <t>19:37 á - 21:40h</t>
  </si>
  <si>
    <t>aplicativos com Instagram pelo  Downdetector</t>
  </si>
  <si>
    <t>Geral</t>
  </si>
  <si>
    <t>Aplicativos com instabilidade</t>
  </si>
  <si>
    <t>8:44h</t>
  </si>
  <si>
    <t>CTOs OFF - 768G+CH7, Rolim de Moura - RO, 76940-000</t>
  </si>
  <si>
    <t xml:space="preserve">CTOs  inoperante </t>
  </si>
  <si>
    <t>9:28 á -</t>
  </si>
  <si>
    <t>UZZY-PYM-MSJ reiniciou, ficou off, atende a região 128, 132 , cliente via radio nessas regiões.</t>
  </si>
  <si>
    <t xml:space="preserve">Pop inoperante </t>
  </si>
  <si>
    <t>15:12 á - 15:29h</t>
  </si>
  <si>
    <t>manutenção - torres SLS, FPE, SMA, SJL, SAL</t>
  </si>
  <si>
    <t>15:19 á - 16:00h</t>
  </si>
  <si>
    <t>UZZY-PYM-MSJ offi-line - Infra acionada</t>
  </si>
  <si>
    <t xml:space="preserve">16:32 á - </t>
  </si>
  <si>
    <t>Torre IZI-XAR passando por problemas devido má qualidade de Enlace
local muito longe e de dificil acesso, vamos ter de tentar agendar a ida no local na próxima semana.
VH6Q+HW5 Puerto Rubio, Bolívia</t>
  </si>
  <si>
    <t>instabilidade na Torre</t>
  </si>
  <si>
    <t>16:46 á - 16:48h</t>
  </si>
  <si>
    <t>troca da cto S13.P14.C02 ZTE rua Floriano Peixoto esquina com a Pacaembu</t>
  </si>
  <si>
    <t>NOVA BRASILÂNDIA</t>
  </si>
  <si>
    <t>Troca de CTO</t>
  </si>
  <si>
    <t>17:55 á - 18:50h</t>
  </si>
  <si>
    <t>Enlace de Radio Digital de UNI-AAPC-PQA &gt; UNI-IZI-SCR passando por modulações</t>
  </si>
  <si>
    <t>22:11 á - 22:25h</t>
  </si>
  <si>
    <t xml:space="preserve">Painel CWB da Torre PIVR-DQR off </t>
  </si>
  <si>
    <t>SAO FELIPE DOESTE</t>
  </si>
  <si>
    <t>8:46 á -  10:40h</t>
  </si>
  <si>
    <t>aplicativos com instabilidade -Instagram- pelo  Downdetector</t>
  </si>
  <si>
    <t>9:16h</t>
  </si>
  <si>
    <t>Duplo rompimento de Cuiabá para SP/ lentiddão geral</t>
  </si>
  <si>
    <t xml:space="preserve">14:55 á - </t>
  </si>
  <si>
    <t>Fibra e radio Torre inoperante  -11.779119, -62.031526</t>
  </si>
  <si>
    <t>16:27 á -</t>
  </si>
  <si>
    <t>reiniciado 1 card de nossa OLT base, pon travou apos queda de energia</t>
  </si>
  <si>
    <t>Presidente Médici</t>
  </si>
  <si>
    <t>CTO inoperante</t>
  </si>
  <si>
    <t>8:06 á - 8: 20</t>
  </si>
  <si>
    <t xml:space="preserve"> troca da Router Torre RMM-TVS</t>
  </si>
  <si>
    <t xml:space="preserve">9:01 á - </t>
  </si>
  <si>
    <t>problema geral na pon fiber home de NBO - CTOs migradas</t>
  </si>
  <si>
    <t>Desconexões / off</t>
  </si>
  <si>
    <t>11:05 á -</t>
  </si>
  <si>
    <t>CTOs off - RMM - Av. 25 de Agosto</t>
  </si>
  <si>
    <t>CTOs inoperante</t>
  </si>
  <si>
    <t>13:07 á -  16:11h</t>
  </si>
  <si>
    <t xml:space="preserve">pop com sigla MSJ  - manutenção -  sanar a falha que ta tendo do ponto a
 ponto para o concentrador (link down link up)
</t>
  </si>
  <si>
    <t xml:space="preserve"> PRESIDENTE MEDICI</t>
  </si>
  <si>
    <t>15:47 á - 16:25h</t>
  </si>
  <si>
    <t>MILLENIUM-ADW-SZR-CWD - off</t>
  </si>
  <si>
    <t>Alvorada D'Oeste</t>
  </si>
  <si>
    <t xml:space="preserve">16:57 á - </t>
  </si>
  <si>
    <t>pop de Urupá se encontra off no momento -  falhas elétrica</t>
  </si>
  <si>
    <t xml:space="preserve">Urupá </t>
  </si>
  <si>
    <t>Pop inoperante</t>
  </si>
  <si>
    <t>0:28 á - 2:08h</t>
  </si>
  <si>
    <t>NETMAIS-NBA-ATI-COA falhas de autenticação</t>
  </si>
  <si>
    <t>Transmissor com falha</t>
  </si>
  <si>
    <t>07:07 á -</t>
  </si>
  <si>
    <t>NETMAIS-NBA-TBJ-CWC inoperante</t>
  </si>
  <si>
    <t>Transmissor off</t>
  </si>
  <si>
    <t>10:06 á - 13:14h</t>
  </si>
  <si>
    <t>Base de RMM: PON da OLT da Linha 156 Sul off a partir da CTO 
11°47'27.5"S 62°02'06.1"W</t>
  </si>
  <si>
    <t>Rolim de Moura / Novo Horizonte</t>
  </si>
  <si>
    <t>OLT inoperante</t>
  </si>
  <si>
    <t>13:50 á - 16:36h</t>
  </si>
  <si>
    <t>Lcalidade -10.877866987088904, -61.89853705092368 off</t>
  </si>
  <si>
    <t>Alto Alegra</t>
  </si>
  <si>
    <t>Migração</t>
  </si>
  <si>
    <t>10h48 à -</t>
  </si>
  <si>
    <t>Localidade -10.875670205198118, -61.95471648866014 off</t>
  </si>
  <si>
    <t xml:space="preserve">88h52 à - </t>
  </si>
  <si>
    <t>Migração - Fibras de um AS de 6FO para 24FO, sentido Linha P40</t>
  </si>
  <si>
    <t>Izidrolandia e Porto Rolim</t>
  </si>
  <si>
    <t xml:space="preserve">Migração </t>
  </si>
  <si>
    <t>13h40 à -</t>
  </si>
  <si>
    <t>Problemas com a UPLAY</t>
  </si>
  <si>
    <t xml:space="preserve">Sex. 15h50 à - </t>
  </si>
  <si>
    <t>Torre UNI-MACH-SSG</t>
  </si>
  <si>
    <t>Torre off-line</t>
  </si>
  <si>
    <t>Duas CTO OFF - Rua do professor</t>
  </si>
  <si>
    <t>10h42</t>
  </si>
  <si>
    <t>SOFP-MQC-CWC off</t>
  </si>
  <si>
    <t xml:space="preserve">09h33 À - </t>
  </si>
  <si>
    <t xml:space="preserve">NETMAIS-NBA-SEV-CWB desconexões </t>
  </si>
  <si>
    <t>Baterias</t>
  </si>
  <si>
    <t>06h42 à -</t>
  </si>
  <si>
    <t>AAPC-BTA off</t>
  </si>
  <si>
    <t>18h06 À 21h10</t>
  </si>
  <si>
    <t>km-20 UNI-PYM-SEA e km-14 UNI-PYM-SOZ off</t>
  </si>
  <si>
    <t>11h12 à 13h26</t>
  </si>
  <si>
    <t>LINHA 204  loc-11.838154903519701, -61.59514582059507</t>
  </si>
  <si>
    <t xml:space="preserve">Inoperante </t>
  </si>
  <si>
    <t xml:space="preserve">14h54 À - </t>
  </si>
  <si>
    <t>UZZY-PYM-CNT-R.A off</t>
  </si>
  <si>
    <t xml:space="preserve">13h50 à - </t>
  </si>
  <si>
    <t>Torre Torre Flor da Serra off</t>
  </si>
  <si>
    <t xml:space="preserve">08h58 á - </t>
  </si>
  <si>
    <t>Clientes do Distrito de Terra Boa e Região off</t>
  </si>
  <si>
    <t xml:space="preserve">Alvorada </t>
  </si>
  <si>
    <t>08h31 à -</t>
  </si>
  <si>
    <t>Regulagem de Sinal -10.892161260878234, -61.93309098209838</t>
  </si>
  <si>
    <t xml:space="preserve">Regulagem de Sinal </t>
  </si>
  <si>
    <t>08h57 à -</t>
  </si>
  <si>
    <t>CTO -11.727317951197303, -61.764959906746995 off</t>
  </si>
  <si>
    <t xml:space="preserve">CTO OFF </t>
  </si>
  <si>
    <t>12h16 à -</t>
  </si>
  <si>
    <t>torre webda-veai-dsm off</t>
  </si>
  <si>
    <t>17h17 À -</t>
  </si>
  <si>
    <t>torres UNI-MACH-SIG, UNI-MACH-RPJ e UNI-MACH-SJB</t>
  </si>
  <si>
    <t xml:space="preserve">04h51 à - </t>
  </si>
  <si>
    <t>CTO -10.884203434679794, -61.92863522898613 off</t>
  </si>
  <si>
    <t xml:space="preserve">Regulagem de sinal </t>
  </si>
  <si>
    <t>11h12 À-</t>
  </si>
  <si>
    <t>torre UNI-PYM-SOZ KM-14 / UNI-PYM-ZCO linha 128 off</t>
  </si>
  <si>
    <t>11h20 à 16h36</t>
  </si>
  <si>
    <t>UNI-MACH-SIG, UNI-MACH-RPJ e UNI-MACH-SJB TORRES OFF</t>
  </si>
  <si>
    <t>Torre em manutenção</t>
  </si>
  <si>
    <t>11h52 À -</t>
  </si>
  <si>
    <t>CTO -10.878919876997443, -61.89669691122253 off</t>
  </si>
  <si>
    <t>11h16 À -</t>
  </si>
  <si>
    <t>Torre IZI-SCR</t>
  </si>
  <si>
    <t>12:01h á 13:13</t>
  </si>
  <si>
    <t>troca OLT de 16 PON para 32 PON</t>
  </si>
  <si>
    <t>iniciado e finalizado madrugada</t>
  </si>
  <si>
    <t>MILLENIUM_ADW_CNT_COA</t>
  </si>
  <si>
    <t>07h50 à -</t>
  </si>
  <si>
    <t>3 torres UNI-AFL-TJB / UNI-AFL-ADI / UNI-AFL-LS off</t>
  </si>
  <si>
    <t xml:space="preserve">Torres OFF </t>
  </si>
  <si>
    <t>13h45 À -</t>
  </si>
  <si>
    <t>Torre AAPC-BTA OFF</t>
  </si>
  <si>
    <t xml:space="preserve">Torre OFF </t>
  </si>
  <si>
    <t>09H20 À 15h54</t>
  </si>
  <si>
    <t>km-14 clientes fibra off - UNI-PYM-SOZ</t>
  </si>
  <si>
    <t>Falha massiva de energia</t>
  </si>
  <si>
    <t>15:09 á -</t>
  </si>
  <si>
    <t>Ponto a Ponto entre Torre RMM-ADV &gt; RMM-CSO</t>
  </si>
  <si>
    <t>Substituição de equipamento</t>
  </si>
  <si>
    <t>10h11 À -</t>
  </si>
  <si>
    <t>Machadinho off</t>
  </si>
  <si>
    <t>05h40 À 12h35</t>
  </si>
  <si>
    <t>Vila gease linha 47/5 parada // 144 parado uma parte</t>
  </si>
  <si>
    <t>09h41 À 10h29</t>
  </si>
  <si>
    <t>Torre CWL-BTO</t>
  </si>
  <si>
    <t>10h58 à -</t>
  </si>
  <si>
    <t>5 Torres em NBA</t>
  </si>
  <si>
    <t xml:space="preserve">13h47 à - </t>
  </si>
  <si>
    <t>WM-SOFP-GRM-A off</t>
  </si>
  <si>
    <t>14h36 à 14h38</t>
  </si>
  <si>
    <t>WM-SOFP-FMD-A</t>
  </si>
  <si>
    <t>08h20 À 09h52</t>
  </si>
  <si>
    <t>ramal na linha 136 distrito de estrela de Rondônia</t>
  </si>
  <si>
    <t>08h33 à -</t>
  </si>
  <si>
    <t>migrado algumas PON's da OLT Ubiquiti para ZTE</t>
  </si>
  <si>
    <t>Migração de OLT ZTE</t>
  </si>
  <si>
    <t>9:04 h á - 10:09</t>
  </si>
  <si>
    <t>troca do roteador do site UNI-MACH-EAZ</t>
  </si>
  <si>
    <t>00:00h á 00:30</t>
  </si>
  <si>
    <t>GIGA-JAW-LIB-COA (OLT FIBERHOME) off</t>
  </si>
  <si>
    <t>10h03 à 12h27</t>
  </si>
  <si>
    <t>AFL-LRO off</t>
  </si>
  <si>
    <t>11h00 À -</t>
  </si>
  <si>
    <t xml:space="preserve"> AFL-GLO off</t>
  </si>
  <si>
    <t xml:space="preserve">09h39 à - </t>
  </si>
  <si>
    <t>-10.886229952894318, -61.91286482645656 off</t>
  </si>
  <si>
    <t>09h01 à 10h26</t>
  </si>
  <si>
    <t>Migração Avenida Aracaju, T16</t>
  </si>
  <si>
    <t>12:34 h á - 13:36</t>
  </si>
  <si>
    <t>Nova Estrela com painéis off</t>
  </si>
  <si>
    <t>Painéis off</t>
  </si>
  <si>
    <t xml:space="preserve">15h29 à - </t>
  </si>
  <si>
    <t>Novo Horizonte off</t>
  </si>
  <si>
    <t>16h27 À -</t>
  </si>
  <si>
    <t>NHDO-TRV</t>
  </si>
  <si>
    <t xml:space="preserve">caiu um raio no painél </t>
  </si>
  <si>
    <t>18h11 À -</t>
  </si>
  <si>
    <t>CTO está parada 100 -  SAO PAULO CTO A03 - Av. Paulo, 4513 - Santa Felicidade</t>
  </si>
  <si>
    <t>Alta Floresta D'Oeste - RO</t>
  </si>
  <si>
    <t>11:13h á - 16:30</t>
  </si>
  <si>
    <t>rompimento de fibra entre machadinho e cujubim - afetando: estrela azul
afeta a região do galo velho PA belo horizonte
e gleba 4 todas linhas LJ e todas linhas TB em machadinho do oeste</t>
  </si>
  <si>
    <t>Machadinho e Cujubim</t>
  </si>
  <si>
    <t>rompimento</t>
  </si>
  <si>
    <t xml:space="preserve">10:00h á </t>
  </si>
  <si>
    <t>NETMAIS-NBA-SVI-CWA</t>
  </si>
  <si>
    <t>Troca de bateria</t>
  </si>
  <si>
    <t>08h39 à 10h07</t>
  </si>
  <si>
    <t>CSTH-CSO off</t>
  </si>
  <si>
    <t>off</t>
  </si>
  <si>
    <t>08h52 à 10h41</t>
  </si>
  <si>
    <t>RMM-CPS</t>
  </si>
  <si>
    <t>torre SMH off devido a descarga de baterias</t>
  </si>
  <si>
    <t>9:22h á - 10:13</t>
  </si>
  <si>
    <t>UNI-NBA-PDB-COB (coa)</t>
  </si>
  <si>
    <t xml:space="preserve">11h16 à - </t>
  </si>
  <si>
    <t>Enlace Modulando em 100 Mbps gerando quedas e lentidão torres: AFL - ADI, JTB, LSA
ABS, LCQ, TZO, LZC</t>
  </si>
  <si>
    <t>manutenção</t>
  </si>
  <si>
    <t xml:space="preserve">09:09h á - </t>
  </si>
  <si>
    <t>rompimento de fibra linha 130 (09) norte, a partir do km 4 até o final da linha</t>
  </si>
  <si>
    <t>10:44h á -</t>
  </si>
  <si>
    <t>MÉTRICA MATRIZ NOVEMBRO 2025</t>
  </si>
  <si>
    <t>1° Quinzena (01/11 - 15/11)</t>
  </si>
  <si>
    <t>2° Quinzena (16/11 - 30/11)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</si>
  <si>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</si>
  <si>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</si>
  <si>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</si>
  <si>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</si>
  <si>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</si>
  <si>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Quantidade total de clientes de outro setores atendido pelo suporte. - </t>
    </r>
    <r>
      <rPr>
        <b/>
        <sz val="12"/>
        <color theme="1"/>
        <rFont val="Arial"/>
      </rPr>
      <t>FLUCTUS</t>
    </r>
  </si>
  <si>
    <t>1.819</t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</si>
  <si>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</si>
  <si>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</si>
  <si>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1.892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</si>
  <si>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</si>
  <si>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1.512</t>
  </si>
  <si>
    <t>2.759</t>
  </si>
  <si>
    <t>4.271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</si>
  <si>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</si>
  <si>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2.430</t>
  </si>
  <si>
    <t>3.733</t>
  </si>
  <si>
    <t>6.163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</si>
  <si>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</si>
  <si>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239</t>
  </si>
  <si>
    <t>228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</si>
  <si>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</si>
  <si>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95,40%</t>
  </si>
  <si>
    <t>5,38%</t>
  </si>
  <si>
    <t>8,88%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</si>
  <si>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</si>
  <si>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69.239</t>
  </si>
  <si>
    <t>69.381</t>
  </si>
  <si>
    <t>53                                  /                         52</t>
  </si>
  <si>
    <t>5,40</t>
  </si>
  <si>
    <t>1,27</t>
  </si>
  <si>
    <t>1,40</t>
  </si>
  <si>
    <t>2,93</t>
  </si>
  <si>
    <t>BRENO BATISTA DE JESUS SOUSA</t>
  </si>
  <si>
    <t>25 ⚠</t>
  </si>
  <si>
    <t>0,67</t>
  </si>
  <si>
    <t>00:00:11</t>
  </si>
  <si>
    <t>BRENO BATISTA</t>
  </si>
  <si>
    <t>3,07</t>
  </si>
  <si>
    <t>2,00</t>
  </si>
  <si>
    <t>1,93</t>
  </si>
  <si>
    <t>0,33</t>
  </si>
  <si>
    <t>6 ⚠</t>
  </si>
  <si>
    <t>5,93</t>
  </si>
  <si>
    <t>4,00</t>
  </si>
  <si>
    <t>2,40</t>
  </si>
  <si>
    <t>3,00</t>
  </si>
  <si>
    <t>3,40</t>
  </si>
  <si>
    <t>0,93</t>
  </si>
  <si>
    <t>0,13</t>
  </si>
  <si>
    <t xml:space="preserve">MAYCON DA SILVA </t>
  </si>
  <si>
    <t>MAYCON DA SILVA BATISTA</t>
  </si>
  <si>
    <t>14 ⚠</t>
  </si>
  <si>
    <t>0,47</t>
  </si>
  <si>
    <t>3,33</t>
  </si>
  <si>
    <t>00:01:37</t>
  </si>
  <si>
    <t>3,73</t>
  </si>
  <si>
    <t>1,80</t>
  </si>
  <si>
    <t>127</t>
  </si>
  <si>
    <t>583</t>
  </si>
  <si>
    <t>4,20</t>
  </si>
  <si>
    <t>00:02:00</t>
  </si>
  <si>
    <t>TOTAL = 1.512</t>
  </si>
  <si>
    <t>9.851</t>
  </si>
  <si>
    <t>TMR 00:01:51</t>
  </si>
  <si>
    <t xml:space="preserve">ROLIM DE MOURA	</t>
  </si>
  <si>
    <t>P. MÉDICE</t>
  </si>
  <si>
    <t>N. BRASILANDIA</t>
  </si>
  <si>
    <t>17.553</t>
  </si>
  <si>
    <t>9.003</t>
  </si>
  <si>
    <t>7.372</t>
  </si>
  <si>
    <t>4.356</t>
  </si>
  <si>
    <t>8.141</t>
  </si>
  <si>
    <t>4.691</t>
  </si>
  <si>
    <t>5.143</t>
  </si>
  <si>
    <t>1.951</t>
  </si>
  <si>
    <t>5.428</t>
  </si>
  <si>
    <t>5.743</t>
  </si>
  <si>
    <t>UZZY-JIP-NLD-COA - SLOT 2 PON 2 e 4 off</t>
  </si>
  <si>
    <t xml:space="preserve">16h50 À - </t>
  </si>
  <si>
    <t>UNI-SOFP-ADM e UNI-SOFP-SRR off</t>
  </si>
  <si>
    <t>17h22 à -</t>
  </si>
  <si>
    <t>WM-CWL-ALC-CWC / WM-CWL-ALC-CWC</t>
  </si>
  <si>
    <t>06h13 À 11h13</t>
  </si>
  <si>
    <t>NETMAIS-NBA-SRN-CWB</t>
  </si>
  <si>
    <t>seg. 17h28 À ter. 09h54</t>
  </si>
  <si>
    <t>Transmissor 903, projeto 85, cto 12194</t>
  </si>
  <si>
    <t>16h53 À -</t>
  </si>
  <si>
    <t>cto 64.08 (desvio da expansão)</t>
  </si>
  <si>
    <t>quart.16h14 À quint. 0h36</t>
  </si>
  <si>
    <t>CTO´s parado 1582 - CTO - Chacareiro Travessão Brasforest - 2
1580 - CTO - Chacareiro Travessão Brasforest-LH180</t>
  </si>
  <si>
    <t>17:37h á - d 06/11 10:53h</t>
  </si>
  <si>
    <t>OLT Ubiquiti WM-PIVR-DQR-COA</t>
  </si>
  <si>
    <t>São Felipe / Primavera</t>
  </si>
  <si>
    <t xml:space="preserve">05:10h á - </t>
  </si>
  <si>
    <t>Bairro Colina Park, base de Ji Parana sem energia</t>
  </si>
  <si>
    <t xml:space="preserve">8:39 á - </t>
  </si>
  <si>
    <t>pop UNI-NBA-SOM-COA off-line</t>
  </si>
  <si>
    <t>16h43 à -</t>
  </si>
  <si>
    <t>Manutenção na CTO - Bairro Urupá, rua capixaba-  10°53'03.7"S 61°57'31.5"W</t>
  </si>
  <si>
    <t xml:space="preserve">8:38 á - </t>
  </si>
  <si>
    <t>Transmissor MACH-SIG-CWD Caindo cabo</t>
  </si>
  <si>
    <t>10:49 á - 16:24h</t>
  </si>
  <si>
    <t>11°10'11.1"S 61°54'43.0"W clientes offline falta de energia, consta no UNM DYINGGASP</t>
  </si>
  <si>
    <t>sem energia</t>
  </si>
  <si>
    <t xml:space="preserve">14:25 á - </t>
  </si>
  <si>
    <t xml:space="preserve"> Torre WM-SOFP-FMD-A  off</t>
  </si>
  <si>
    <t>Torre OFF</t>
  </si>
  <si>
    <t>9:16 á - 17:27 h</t>
  </si>
  <si>
    <t>-10.88443, -61.95876 substituição da caixa motivo abelhas</t>
  </si>
  <si>
    <t>9:40 á -</t>
  </si>
  <si>
    <t>Transmissor UNI-NBA-SOM-COA - troca de equipamentos</t>
  </si>
  <si>
    <t>troca de equipamento</t>
  </si>
  <si>
    <t>10:02 á 10:39h</t>
  </si>
  <si>
    <t>ropimento na linha p30 - 12°09'27.9"S 61°49'47.1"W</t>
  </si>
  <si>
    <t>11:54 á -</t>
  </si>
  <si>
    <t>12°37'48.3"S 61°56'50.8"W - cabos baixos 5 km antes da  vila São Luis</t>
  </si>
  <si>
    <t xml:space="preserve">14:27 á </t>
  </si>
  <si>
    <t xml:space="preserve">Problemas de instabilidade na rede </t>
  </si>
  <si>
    <t>ALVORADA D' OESTE</t>
  </si>
  <si>
    <t xml:space="preserve">14:33 á- </t>
  </si>
  <si>
    <t>rompimento em Rolim de Moura pons:  4/1 - 4/2 - 4/3 - 4/4 - 7/3 - 7/7 -11/1 -11/2 - Linha 156 Sul</t>
  </si>
  <si>
    <t>Rolim de Moura/Novo H.</t>
  </si>
  <si>
    <t>5:55 á -</t>
  </si>
  <si>
    <t>11°20'03.3"S 61°45'47.7"W - rompimento  Loss no Netnumen</t>
  </si>
  <si>
    <t>10:29 á -</t>
  </si>
  <si>
    <t>Radios off UNI-MACH -SBM - UNI-MACH -SAM</t>
  </si>
  <si>
    <t>16:29 á - 17:36h</t>
  </si>
  <si>
    <t xml:space="preserve">Rompimento na Linha FA 01 São Felipe </t>
  </si>
  <si>
    <t>8:57 á - 13:02h</t>
  </si>
  <si>
    <t>transmissor off UNI-PYM-SOZ-CWE</t>
  </si>
  <si>
    <t>transmissor OFF</t>
  </si>
  <si>
    <t>8:25 á - 10:16h</t>
  </si>
  <si>
    <t>rompimento na 7º linha transmissor UNI-PYM-DBV.COA</t>
  </si>
  <si>
    <t>10:17h</t>
  </si>
  <si>
    <t>11°43'08.4"S 61°45'04.7"W - CTO 1359 - CA Esplanada Final2 - CTO 1358 - CA Esplanada Final1 - off</t>
  </si>
  <si>
    <t>15:24 á -</t>
  </si>
  <si>
    <t>10°58'41.2"S 61°56'57.2"W - rompimento fibra</t>
  </si>
  <si>
    <t>rompimento/ falta de energia</t>
  </si>
  <si>
    <t>00:31 á -</t>
  </si>
  <si>
    <t>regulagem de sinal Av. Marechal Rondom</t>
  </si>
  <si>
    <t>15:43 á -</t>
  </si>
  <si>
    <t>11°20'17.0"S 62°03'21.9"W -  linha gauchá estão offline</t>
  </si>
  <si>
    <t xml:space="preserve">16:24 á - </t>
  </si>
  <si>
    <t>MILLENIUM-TXP-TLD-CWA off</t>
  </si>
  <si>
    <t xml:space="preserve">7:59 á - </t>
  </si>
  <si>
    <t>Linha 156 Sul (RMM) limitação devido modulação na porta Router</t>
  </si>
  <si>
    <t>17:40 á - 17:46h</t>
  </si>
  <si>
    <t>Torres off do transmissor: SISTEM-SLO-JDR</t>
  </si>
  <si>
    <t>Torre off</t>
  </si>
  <si>
    <t>7:32 á - 9:02h</t>
  </si>
  <si>
    <t>Painel off na Torre RMM-COD</t>
  </si>
  <si>
    <t>9:03 á - 16:23h</t>
  </si>
  <si>
    <t xml:space="preserve"> migração de olt em Machadinho - UNI-MACH-CNT-COB -Slot 13 Pon5</t>
  </si>
  <si>
    <t>Migração de OLT</t>
  </si>
  <si>
    <t>10:36 á - 13:01</t>
  </si>
  <si>
    <t>CTO 1923 / 1924 Linha 156 Norte</t>
  </si>
  <si>
    <t>14h41 à 15h15</t>
  </si>
  <si>
    <t xml:space="preserve"> migração da PON 7 do Slot 12 da MACH-CNT-COA para a PON 6 do Slot 13 da MACH-CNT-COB</t>
  </si>
  <si>
    <t>Migração da PON</t>
  </si>
  <si>
    <t>16:19 á - 17:33h</t>
  </si>
  <si>
    <t>Migração de OLT- do transmissor NLD  para o transmissor NLI</t>
  </si>
  <si>
    <t>17:28 á - 19:50</t>
  </si>
  <si>
    <t>11°43'22.0"S 61°46'13.0"W -RMM com  atenuação na rede de fibra, alguns clientes com link loss /sinal -30</t>
  </si>
  <si>
    <t>atenuação Fibra</t>
  </si>
  <si>
    <t>22:04 á -</t>
  </si>
  <si>
    <t xml:space="preserve">CTO's off -  11°43'28.2"S 61°46'13.7"W </t>
  </si>
  <si>
    <t>CTO´s off</t>
  </si>
  <si>
    <t>8:20 á - 8:54h</t>
  </si>
  <si>
    <t>migração do Slot 12 Pon 4 OLT CNT-COA - para Slot 13 Pon 7 da OLT CNT-COB
iniciado com: 78 ONUS on finalizado com: 77 Ficaram ON LINE e 1 esta com DYINGGASP</t>
  </si>
  <si>
    <t>8:58 á - 11:34h</t>
  </si>
  <si>
    <t>Torre off na Linha 156 Sul Base de RMM - UNI -RMM - TVS</t>
  </si>
  <si>
    <t>13:50 á - 16:35h</t>
  </si>
  <si>
    <t>Manutenção na rede Fibra de Alta Floresta , CTO's  nas Linhas 45 , 42,5 , 160 e P-50</t>
  </si>
  <si>
    <t>15:18 á - 16:35h</t>
  </si>
  <si>
    <t>Migração do sllot 12 Pon 6 OLT MACH-CNT-COA para Sllot 13 Pon 2 OLT MACH-CNT-COB
ficando OFF apenas a Cliente (tainavieira.webda)</t>
  </si>
  <si>
    <t>15:51 á - 18:50h</t>
  </si>
  <si>
    <t>11°41'42.3"S 61°46'40.9"W -rompimento com diversos clientes offline, 
queda registrada, ocorreu entre 16:00 e 16:36.</t>
  </si>
  <si>
    <t xml:space="preserve">16:00 á - </t>
  </si>
  <si>
    <t xml:space="preserve"> painel CWG do pop MEC ESTA OFF-LINE</t>
  </si>
  <si>
    <t>8:25 á -</t>
  </si>
  <si>
    <t>rompimento transmissor WM-SOFP-CNT-COA R- pon 0-0-2-1 -. Judite Pachêco da Silva, 141-1</t>
  </si>
  <si>
    <t xml:space="preserve">8:40 á - </t>
  </si>
  <si>
    <t>Migraçao do Ramal 54 da OLT CNT-COA Slot 12 Pon 5 Para CNT-COB Slot 12 Pon 14</t>
  </si>
  <si>
    <t>9:08 á - 10:24h</t>
  </si>
  <si>
    <t>1610 - CTO Trav 45 AFL 1 mudando a pon para ampliação de capacidade de portas</t>
  </si>
  <si>
    <t>9:11 á - 10:56h</t>
  </si>
  <si>
    <t>Torre inoperante  SISTEM-RMM-BLV-201</t>
  </si>
  <si>
    <t>11:52 á - 13:11h d16/11</t>
  </si>
  <si>
    <t>GIGA-JAW-LIB-COA (OLT FIBERHOME) SLOT 15 PON 4  link loss</t>
  </si>
  <si>
    <t xml:space="preserve"> JARU</t>
  </si>
  <si>
    <t>transmissor link LOs</t>
  </si>
  <si>
    <t>15:34 á - 23:02h</t>
  </si>
  <si>
    <t>Torre RMM-CNO clientes off durante um bom período</t>
  </si>
  <si>
    <t xml:space="preserve">8:51 á - </t>
  </si>
  <si>
    <t>Torre na Região de Alta Floresta off - -11.9439316928, -62.3167210719</t>
  </si>
  <si>
    <t xml:space="preserve">9:08 á - </t>
  </si>
  <si>
    <t xml:space="preserve">-10.88609, -61.94979 -   manobra em uma fibra </t>
  </si>
  <si>
    <t>10:45 á - 11:37H</t>
  </si>
  <si>
    <t>região de Porto Rolim Várias quedas frequentes : UNI-IZI-PRM /GBT/XAR</t>
  </si>
  <si>
    <t>Porto Rolim</t>
  </si>
  <si>
    <t xml:space="preserve">19:16 á - </t>
  </si>
  <si>
    <t xml:space="preserve">Flap na rede </t>
  </si>
  <si>
    <t>instabilidade</t>
  </si>
  <si>
    <t>periodo da tarde!</t>
  </si>
  <si>
    <t>Trica de poste por Energisa -  -10.85943, -61.98099</t>
  </si>
  <si>
    <t>rompimento/manuteção</t>
  </si>
  <si>
    <t>9:55 á - 11:51 d19</t>
  </si>
  <si>
    <t>-10.86358, -61.94364 -  manutenção CTO</t>
  </si>
  <si>
    <t xml:space="preserve">9:58 á - </t>
  </si>
  <si>
    <t>aplicativos com instabilidade pelo  Downdetector</t>
  </si>
  <si>
    <t>10:01h</t>
  </si>
  <si>
    <t>CloudFare com instabilidade</t>
  </si>
  <si>
    <t>10:02h</t>
  </si>
  <si>
    <t>-10.85943, -61.98099 - ernegisa fez troca do poste</t>
  </si>
  <si>
    <t>rompimento / manutenção</t>
  </si>
  <si>
    <t>8:18 á -  11:51 d19</t>
  </si>
  <si>
    <t>UNI-JIP-NALA EM VALIDAÇÃO/ MANUTENÇÃO</t>
  </si>
  <si>
    <t>NOVA LONDRINA</t>
  </si>
  <si>
    <t>9:30 á - 15:22h</t>
  </si>
  <si>
    <t>NBS com capacidade para SP reduzida e VTAL com degradação</t>
  </si>
  <si>
    <t xml:space="preserve">13:47 á - </t>
  </si>
  <si>
    <t>Queda rapida iremos ter na Torre RMM-ADV , base de RMM</t>
  </si>
  <si>
    <t>15:10 á - 15:43h</t>
  </si>
  <si>
    <t>11°05'42.6"S 61°50'41.0"W - região off com queda registarada  por volta das 11h45</t>
  </si>
  <si>
    <t>região offline</t>
  </si>
  <si>
    <t xml:space="preserve">15:13 á - </t>
  </si>
  <si>
    <t>arvore que caiu foi em urupá, em cima da fibra que alimenta Teixeropolis</t>
  </si>
  <si>
    <t>Urupá / Teixeropolis</t>
  </si>
  <si>
    <t>17:14 á - 19:37h</t>
  </si>
  <si>
    <t>Fiberhome - UNI-JIP-NVB-COA PON 5/4 e 2/8  duplo rompimento</t>
  </si>
  <si>
    <t>0:35 á - 4:48h</t>
  </si>
  <si>
    <t>rompimento na regiao de castanheiras afetando tambem jardinopolis</t>
  </si>
  <si>
    <t>Castanheiras / Jardinopolis</t>
  </si>
  <si>
    <t>8:44 á - 12:55h</t>
  </si>
  <si>
    <t>Pop regiao de rolim de moura off-line - transmissor SISTEM-IZI-FTA-RA
CWA / CWB / CWC/ CWD / CWE/ CWF</t>
  </si>
  <si>
    <t xml:space="preserve">13:24 á - </t>
  </si>
  <si>
    <t>WM-AAPC-CNT-COA PON 0-0-13-1 -  LOSS, passado uma caçamba e arrebentado o ramal</t>
  </si>
  <si>
    <t xml:space="preserve">15:54 á - </t>
  </si>
  <si>
    <t>WM-AAPC-CNT-COA Pon 0-0-13-5 esta com DYINGGASP</t>
  </si>
  <si>
    <t>15:57 á 8:22h</t>
  </si>
  <si>
    <t>Transmissor WM-RMM-DNE-CWA off line -
CWL- VLD / FLV/ CLD/ APC/ ALC/ RQE / LHE/ DNE/ CRS
OLT da 208  ( quedas registardas 20/11/25 15:23:54)</t>
  </si>
  <si>
    <t>15:23 - á</t>
  </si>
  <si>
    <t>Transmissor UNI-PYM-SOZ-COA off-line - atende linha km14 - km15 e um pedaço do km-11</t>
  </si>
  <si>
    <t>17:24 á -</t>
  </si>
  <si>
    <t xml:space="preserve"> SISTEM-RMM-CPS-200 - Linha 208 RMM -  descarga de baterias</t>
  </si>
  <si>
    <t>Dscarga de baterias</t>
  </si>
  <si>
    <t xml:space="preserve">15:23 á - </t>
  </si>
  <si>
    <t>transmissor UNI-PYM-SOZ - pop indisponivel para manutenção</t>
  </si>
  <si>
    <t xml:space="preserve">10:15 á - </t>
  </si>
  <si>
    <t>manutenção em cto - -10.84837, -61.99412</t>
  </si>
  <si>
    <t xml:space="preserve">11:55 á - </t>
  </si>
  <si>
    <t>ampliação de CTO -10.88169, -61.91953</t>
  </si>
  <si>
    <t>ampliação de CTO</t>
  </si>
  <si>
    <t>16:55 á - 17:26h</t>
  </si>
  <si>
    <t>Clientes de Alvorada sem conexão - problemas tecnicos</t>
  </si>
  <si>
    <t>Alvorada d´Oeste</t>
  </si>
  <si>
    <t>cidade off</t>
  </si>
  <si>
    <t>17:20 á - 17:49h</t>
  </si>
  <si>
    <t>Clientes de Nova Brasilandia sem conexão - problemas tecnicos</t>
  </si>
  <si>
    <t>17:20h</t>
  </si>
  <si>
    <t>Torre SISTEM-SLO-JDR-200 / ANS/ VIV/ CSTH / FTA - off-line</t>
  </si>
  <si>
    <t xml:space="preserve">8:55 á - </t>
  </si>
  <si>
    <t xml:space="preserve">Presidente Medice Km 14 e km 11 fibra e clientes conectados via rádio, linha 128 
clientes rádio , linha 110 e Km 17 OFf, e alguns clientes na segunda linha em Nova Londrina
 via rádio que conectam no KM 14 estão off </t>
  </si>
  <si>
    <t>Presidente Medice/
Nova Londrina</t>
  </si>
  <si>
    <t>9:25 á - 10:25h</t>
  </si>
  <si>
    <t>UNI-PYM-SOZ encontra-se off</t>
  </si>
  <si>
    <t>16:16 á - 20:24h</t>
  </si>
  <si>
    <t>pop off-line na regiao de Alta Floresta - IZI-LRO / IZI-GLO</t>
  </si>
  <si>
    <t>POP off</t>
  </si>
  <si>
    <t>12:02 á - 13:13h</t>
  </si>
  <si>
    <t>-10.85756, -61.99491 - reparo na rede (Energisa trocou poste)</t>
  </si>
  <si>
    <t>Reparo na rede</t>
  </si>
  <si>
    <t>Manutenção e Expansão da Rede no Bairro Savana Park - -10.43044535460325, -62.49199678461606</t>
  </si>
  <si>
    <t>manutenção/ ampliação</t>
  </si>
  <si>
    <t>d25/11 - 10:10 á - d29/11</t>
  </si>
  <si>
    <t>instabilidade na região de Izidrolândia, Porto Rolim e Flor da Serra - quedas ou oscilações no serviço
relacionada a um rompimento entre Santa Luzia e Alta Floresta.</t>
  </si>
  <si>
    <t>Izidrolândia/ Porto Rolim/
 Flor da Serra/ Base de AL. Floresta</t>
  </si>
  <si>
    <t>16:27 á - 17:29h</t>
  </si>
  <si>
    <t>Paineis UNI-OPO-EBT off - devido a chuva na região</t>
  </si>
  <si>
    <t>00:16 á - 8:17h</t>
  </si>
  <si>
    <t>2 pons off-line - no km14 e km11 pop com Sigla UNI-PYM-SOZ-COA</t>
  </si>
  <si>
    <t>rompimento/ falha eletrica</t>
  </si>
  <si>
    <t xml:space="preserve">06:56 á - </t>
  </si>
  <si>
    <t xml:space="preserve"> UNI-PYM-SPB e UNI-PYM-SMB (bateria)</t>
  </si>
  <si>
    <t>baterias</t>
  </si>
  <si>
    <t xml:space="preserve">8:28 á - </t>
  </si>
  <si>
    <t>pop SJS desligou por falta de bateria - off também  SJR, FPE, SMA e SAL</t>
  </si>
  <si>
    <t>Falta de carga com as baterias</t>
  </si>
  <si>
    <t>8:29 á -  9:29h</t>
  </si>
  <si>
    <t>rompimento nos drop :  - -10.89594, -61.91942</t>
  </si>
  <si>
    <t>rompimento na rede</t>
  </si>
  <si>
    <t xml:space="preserve">8:37 á - </t>
  </si>
  <si>
    <t>Torre RMM-ADV subindo a Uplink dela através de ONU - Oocasionadno lentidão</t>
  </si>
  <si>
    <t xml:space="preserve">10:56 á - </t>
  </si>
  <si>
    <t xml:space="preserve">DNS do google off </t>
  </si>
  <si>
    <t>15:02h</t>
  </si>
  <si>
    <t xml:space="preserve"> Energisa realizou a troca de poste - -12.136385, -61.859325</t>
  </si>
  <si>
    <t>troca de poste - Energisa</t>
  </si>
  <si>
    <t xml:space="preserve">14:31 á - </t>
  </si>
  <si>
    <t xml:space="preserve"> janela de manutenção de quarta para quinta feira - NOC de Presidente Médici. 
NBS ira fazer um upgrade de equipamento</t>
  </si>
  <si>
    <t>00:00 as 00:45h</t>
  </si>
  <si>
    <t xml:space="preserve"> pop em Machadinho off - 
UNI-MACH-SCB / CCB/ SOJ/ SMF / AMX / SAD / SSF/ SJT / CCN/ TBJ / SDF</t>
  </si>
  <si>
    <t>5:18 á - 7:00h</t>
  </si>
  <si>
    <t xml:space="preserve"> POP parado na região de São Felipe - CWL-VLD</t>
  </si>
  <si>
    <t>1:46 á -</t>
  </si>
  <si>
    <t xml:space="preserve"> ampliação na cto - 4 logins: / ana_nascimento.NTM / maria_marinho.NTM/ mariobarbosa25 / edimarinho</t>
  </si>
  <si>
    <t xml:space="preserve"> ampliação na cto</t>
  </si>
  <si>
    <t>13:41 á - 14:19h</t>
  </si>
  <si>
    <t>janela de manutenção no pop central de Ji-Parana</t>
  </si>
  <si>
    <t xml:space="preserve">manutenção </t>
  </si>
  <si>
    <t xml:space="preserve"> 01:00 até as 05:00</t>
  </si>
  <si>
    <t>Rompimento  em Alvorada- afetou clientes das linhas 12, 13, 14, 15, 16, 17, 18 - UNI-ADW-SED-RA</t>
  </si>
  <si>
    <t>Alvorada / Urupá</t>
  </si>
  <si>
    <t>23:55 á -</t>
  </si>
  <si>
    <t>Rompimento de fibra regiao 148 Sul  17 clientes afetados</t>
  </si>
  <si>
    <t>Novo Horizonte do Oeste</t>
  </si>
  <si>
    <t>Painel OFF CWC</t>
  </si>
  <si>
    <t>NOVEMBRO 1°QUINZENA</t>
  </si>
  <si>
    <t>NOVEMBRO 2°QUINZENA</t>
  </si>
  <si>
    <t>OUTUBRO 1°QUINZENA</t>
  </si>
  <si>
    <t>OUTUBRO 2°QUINZENA</t>
  </si>
  <si>
    <t>MÉTRICA MATRIZ DEZEMBRO 2025</t>
  </si>
  <si>
    <t>1° SEMANA</t>
  </si>
  <si>
    <t>2° SEMANA</t>
  </si>
  <si>
    <t>3° SEMANA</t>
  </si>
  <si>
    <t>4° SEMANA</t>
  </si>
  <si>
    <t>5° SEMANA</t>
  </si>
  <si>
    <t>MENSAL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</si>
  <si>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</si>
  <si>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</si>
  <si>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</si>
  <si>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</si>
  <si>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</si>
  <si>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4.37</t>
  </si>
  <si>
    <t>4.28</t>
  </si>
  <si>
    <t>4.33</t>
  </si>
  <si>
    <r>
      <rPr>
        <sz val="12"/>
        <color theme="1"/>
        <rFont val="Arial"/>
      </rPr>
      <t xml:space="preserve">Taxa de Cumprimento de SLA em (%) Ativação de Login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</si>
  <si>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Realizados pela Equipe - </t>
    </r>
    <r>
      <rPr>
        <b/>
        <sz val="12"/>
        <color theme="1"/>
        <rFont val="Arial"/>
      </rPr>
      <t>N2</t>
    </r>
  </si>
  <si>
    <t>526</t>
  </si>
  <si>
    <t>2.695</t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</si>
  <si>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</si>
  <si>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</si>
  <si>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287</t>
  </si>
  <si>
    <t>2.723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</si>
  <si>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</si>
  <si>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1.397</t>
  </si>
  <si>
    <t>2.064</t>
  </si>
  <si>
    <t>1.524</t>
  </si>
  <si>
    <t>890</t>
  </si>
  <si>
    <t>7.272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</si>
  <si>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</si>
  <si>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2.095</t>
  </si>
  <si>
    <t>2.889</t>
  </si>
  <si>
    <t>2.087</t>
  </si>
  <si>
    <t>1.612</t>
  </si>
  <si>
    <t>1.638</t>
  </si>
  <si>
    <t>10.321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</si>
  <si>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</si>
  <si>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89</t>
  </si>
  <si>
    <t>30</t>
  </si>
  <si>
    <t>61</t>
  </si>
  <si>
    <t>29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</si>
  <si>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</si>
  <si>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91%</t>
  </si>
  <si>
    <t>98%</t>
  </si>
  <si>
    <t>94%</t>
  </si>
  <si>
    <t>2,07%</t>
  </si>
  <si>
    <t>2.10%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</si>
  <si>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</si>
  <si>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69.423</t>
  </si>
  <si>
    <t>69.502</t>
  </si>
  <si>
    <t>77.706</t>
  </si>
  <si>
    <t>77.758</t>
  </si>
  <si>
    <t>77.823</t>
  </si>
  <si>
    <t>ATIVAÇÃO 
DE
NOVO LOGIN</t>
  </si>
  <si>
    <t>SUPORTE
INTERNO</t>
  </si>
  <si>
    <t>REGISTROS
OPERACIONAL</t>
  </si>
  <si>
    <t>REGISTRO
FINANCEIRO</t>
  </si>
  <si>
    <t>MÉDIA
DIÁRIA DE O.S
POR SEMANA</t>
  </si>
  <si>
    <t>QUANTIDADE
 DE LIGAÇÃO
 ATENDIDA X RECUSADAS</t>
  </si>
  <si>
    <t>TEMPO MÉDIO 
DE
ATENDIMENTO</t>
  </si>
  <si>
    <t>S/R</t>
  </si>
  <si>
    <t>00:01:26</t>
  </si>
  <si>
    <t>S/A</t>
  </si>
  <si>
    <t>76</t>
  </si>
  <si>
    <t>00:01:29</t>
  </si>
  <si>
    <t>84</t>
  </si>
  <si>
    <t>8</t>
  </si>
  <si>
    <t>50</t>
  </si>
  <si>
    <t>325</t>
  </si>
  <si>
    <t>5.464</t>
  </si>
  <si>
    <t>META</t>
  </si>
  <si>
    <t>00:01:51</t>
  </si>
  <si>
    <t>KETLYN DOS SANTOS BALDOINO ⚠️</t>
  </si>
  <si>
    <t>3 ⚠️</t>
  </si>
  <si>
    <t>1 ⚠️</t>
  </si>
  <si>
    <t>5 ⚠️</t>
  </si>
  <si>
    <t>0,71 ⚠️</t>
  </si>
  <si>
    <t>4 ⚠️</t>
  </si>
  <si>
    <t>0 ⚠️</t>
  </si>
  <si>
    <t>31 ⚠️</t>
  </si>
  <si>
    <t>00:06:10 ⚠️</t>
  </si>
  <si>
    <t>00:00:19 ⚠️</t>
  </si>
  <si>
    <t>96</t>
  </si>
  <si>
    <t>00:05:25</t>
  </si>
  <si>
    <t>72</t>
  </si>
  <si>
    <t>33</t>
  </si>
  <si>
    <t>57</t>
  </si>
  <si>
    <t>291</t>
  </si>
  <si>
    <t>6.746</t>
  </si>
  <si>
    <t>META COLETIVA</t>
  </si>
  <si>
    <t>&gt; 483</t>
  </si>
  <si>
    <t>&gt;200</t>
  </si>
  <si>
    <t>META INDIVIDUAL</t>
  </si>
  <si>
    <r>
      <rPr>
        <sz val="10"/>
        <color theme="1"/>
        <rFont val="Arial"/>
      </rPr>
      <t xml:space="preserve">ANA VITORIA SANTOS DE SÁ </t>
    </r>
    <r>
      <rPr>
        <b/>
        <sz val="10"/>
        <color theme="1"/>
        <rFont val="Arial"/>
      </rPr>
      <t xml:space="preserve">(férias) </t>
    </r>
    <r>
      <rPr>
        <sz val="10"/>
        <color theme="1"/>
        <rFont val="Arial"/>
      </rPr>
      <t>⚠️</t>
    </r>
  </si>
  <si>
    <t>37 ⚠️</t>
  </si>
  <si>
    <t>29 ⚠️</t>
  </si>
  <si>
    <t>24 ⚠️</t>
  </si>
  <si>
    <t>3,43⚠️</t>
  </si>
  <si>
    <t>88⚠️</t>
  </si>
  <si>
    <t>26⚠️</t>
  </si>
  <si>
    <t>205 ⚠️</t>
  </si>
  <si>
    <t>250</t>
  </si>
  <si>
    <t>00:02:16</t>
  </si>
  <si>
    <r>
      <rPr>
        <sz val="10"/>
        <color theme="1"/>
        <rFont val="Arial"/>
      </rPr>
      <t xml:space="preserve">KETLYN DOS SANTOS BALDOINO  </t>
    </r>
    <r>
      <rPr>
        <b/>
        <sz val="10"/>
        <color theme="1"/>
        <rFont val="Arial"/>
      </rPr>
      <t xml:space="preserve">(atestado) </t>
    </r>
    <r>
      <rPr>
        <sz val="10"/>
        <color theme="1"/>
        <rFont val="Arial"/>
      </rPr>
      <t>⚠️</t>
    </r>
  </si>
  <si>
    <t>25⚠️</t>
  </si>
  <si>
    <t>7⚠️</t>
  </si>
  <si>
    <t>2⚠️</t>
  </si>
  <si>
    <t>⚠️</t>
  </si>
  <si>
    <t>67</t>
  </si>
  <si>
    <t>00:05:17</t>
  </si>
  <si>
    <t>220</t>
  </si>
  <si>
    <t>136</t>
  </si>
  <si>
    <t>25</t>
  </si>
  <si>
    <t>65</t>
  </si>
  <si>
    <t>338</t>
  </si>
  <si>
    <t>4.687</t>
  </si>
  <si>
    <t>504</t>
  </si>
  <si>
    <t>&gt; 750</t>
  </si>
  <si>
    <t>4.0</t>
  </si>
  <si>
    <r>
      <rPr>
        <sz val="10"/>
        <color theme="1"/>
        <rFont val="Arial"/>
      </rPr>
      <t xml:space="preserve">ANA VITORIA SANTOS DE SÁ </t>
    </r>
    <r>
      <rPr>
        <b/>
        <sz val="10"/>
        <color theme="1"/>
        <rFont val="Arial"/>
      </rPr>
      <t xml:space="preserve">(férias) </t>
    </r>
    <r>
      <rPr>
        <sz val="10"/>
        <color theme="1"/>
        <rFont val="Arial"/>
      </rPr>
      <t>⚠️</t>
    </r>
  </si>
  <si>
    <t>176</t>
  </si>
  <si>
    <t>00:01:24</t>
  </si>
  <si>
    <t xml:space="preserve">KETLYN DOS SANTOS BALDOINO </t>
  </si>
  <si>
    <r>
      <rPr>
        <sz val="10"/>
        <color theme="1"/>
        <rFont val="Arial"/>
      </rPr>
      <t xml:space="preserve">NELSON JADSON ALVES MACHADO </t>
    </r>
    <r>
      <rPr>
        <b/>
        <sz val="10"/>
        <color theme="1"/>
        <rFont val="Arial"/>
      </rPr>
      <t>(casamento)</t>
    </r>
    <r>
      <rPr>
        <sz val="10"/>
        <color theme="1"/>
        <rFont val="Arial"/>
      </rPr>
      <t>⚠️</t>
    </r>
  </si>
  <si>
    <t>17 ⚠️</t>
  </si>
  <si>
    <t>11 ⚠️</t>
  </si>
  <si>
    <t>19 ⚠️</t>
  </si>
  <si>
    <t>139⚠️</t>
  </si>
  <si>
    <t>4.8⚠️</t>
  </si>
  <si>
    <t>00:14:48⚠️</t>
  </si>
  <si>
    <t>00:00:26⚠️</t>
  </si>
  <si>
    <t>PEDRO GABRIEL ROSA DE MORAES</t>
  </si>
  <si>
    <t>31</t>
  </si>
  <si>
    <t>00:03:39</t>
  </si>
  <si>
    <t>3</t>
  </si>
  <si>
    <t>153</t>
  </si>
  <si>
    <t>49</t>
  </si>
  <si>
    <t>14</t>
  </si>
  <si>
    <t>40</t>
  </si>
  <si>
    <t>181</t>
  </si>
  <si>
    <t>3.254</t>
  </si>
  <si>
    <t>1.140</t>
  </si>
  <si>
    <t>380</t>
  </si>
  <si>
    <t>&gt; 660</t>
  </si>
  <si>
    <t>&gt;150</t>
  </si>
  <si>
    <t>&gt; 4600</t>
  </si>
  <si>
    <t>&gt;6</t>
  </si>
  <si>
    <r>
      <rPr>
        <sz val="10"/>
        <color theme="1"/>
        <rFont val="Arial"/>
      </rPr>
      <t xml:space="preserve">ANA VITORIA SANTOS DE SÁ </t>
    </r>
    <r>
      <rPr>
        <b/>
        <sz val="10"/>
        <color theme="1"/>
        <rFont val="Arial"/>
      </rPr>
      <t xml:space="preserve">(férias) </t>
    </r>
    <r>
      <rPr>
        <sz val="10"/>
        <color theme="1"/>
        <rFont val="Arial"/>
      </rPr>
      <t>⚠️</t>
    </r>
  </si>
  <si>
    <t>101</t>
  </si>
  <si>
    <t>00:02:43</t>
  </si>
  <si>
    <t xml:space="preserve">NELSON JADSON ALVES MACHADO </t>
  </si>
  <si>
    <t>20</t>
  </si>
  <si>
    <t>00:04:15</t>
  </si>
  <si>
    <t>5</t>
  </si>
  <si>
    <t>32</t>
  </si>
  <si>
    <t>35</t>
  </si>
  <si>
    <t>151</t>
  </si>
  <si>
    <t>2.201</t>
  </si>
  <si>
    <t>490</t>
  </si>
  <si>
    <t>245</t>
  </si>
  <si>
    <t>&gt; 282</t>
  </si>
  <si>
    <t>&gt;50</t>
  </si>
  <si>
    <t>&gt;3</t>
  </si>
  <si>
    <t>MÉTRICA MATRIZ JANEIRO 2026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</si>
  <si>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</si>
  <si>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</si>
  <si>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</si>
  <si>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</si>
  <si>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</si>
  <si>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4.18</t>
  </si>
  <si>
    <t>4.30</t>
  </si>
  <si>
    <r>
      <rPr>
        <sz val="12"/>
        <color theme="1"/>
        <rFont val="Arial"/>
      </rPr>
      <t xml:space="preserve">Taxa de Cumprimento de SLA em (%) Ativação de Login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</si>
  <si>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Realizados pela Equipe - </t>
    </r>
    <r>
      <rPr>
        <b/>
        <sz val="12"/>
        <color theme="1"/>
        <rFont val="Arial"/>
      </rPr>
      <t>N2</t>
    </r>
  </si>
  <si>
    <t>3.844</t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</si>
  <si>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</si>
  <si>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t>97%%</t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</si>
  <si>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</si>
  <si>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3.367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</si>
  <si>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</si>
  <si>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3.503</t>
  </si>
  <si>
    <t>3.308</t>
  </si>
  <si>
    <t>2.925</t>
  </si>
  <si>
    <t>3.409</t>
  </si>
  <si>
    <t>13.145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</si>
  <si>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</si>
  <si>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4.600</t>
  </si>
  <si>
    <t>4.036</t>
  </si>
  <si>
    <t>3.737</t>
  </si>
  <si>
    <t>4.139</t>
  </si>
  <si>
    <t>16.512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</si>
  <si>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</si>
  <si>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t>106</t>
  </si>
  <si>
    <t>158</t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</si>
  <si>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</si>
  <si>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95,28%</t>
  </si>
  <si>
    <t>97,14%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</si>
  <si>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</si>
  <si>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77.942</t>
  </si>
  <si>
    <t>78.029</t>
  </si>
  <si>
    <t>78.106</t>
  </si>
  <si>
    <t>78.269</t>
  </si>
  <si>
    <t>4.69</t>
  </si>
  <si>
    <t>ANA VIRGINIA MORENO</t>
  </si>
  <si>
    <t>4.57</t>
  </si>
  <si>
    <t>4.38</t>
  </si>
  <si>
    <t>27</t>
  </si>
  <si>
    <t>24</t>
  </si>
  <si>
    <t>522</t>
  </si>
  <si>
    <t>4.35</t>
  </si>
  <si>
    <t>00:00:42</t>
  </si>
  <si>
    <t>4.16</t>
  </si>
  <si>
    <t>112</t>
  </si>
  <si>
    <t>45</t>
  </si>
  <si>
    <t>4.29</t>
  </si>
  <si>
    <t>3.67</t>
  </si>
  <si>
    <t>JOÃO PEDRO VIZELI ARAUJO</t>
  </si>
  <si>
    <t>4.31</t>
  </si>
  <si>
    <t>4.44</t>
  </si>
  <si>
    <t>MATHEUS ROBERTO RICART CAMPOS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</si>
  <si>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</si>
  <si>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4.20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</si>
  <si>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</si>
  <si>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92</t>
  </si>
  <si>
    <t>00:08:15</t>
  </si>
  <si>
    <t>58</t>
  </si>
  <si>
    <t>4.50</t>
  </si>
  <si>
    <t>00:09:11</t>
  </si>
  <si>
    <t>15</t>
  </si>
  <si>
    <t>4.17</t>
  </si>
  <si>
    <t>111</t>
  </si>
  <si>
    <t>28</t>
  </si>
  <si>
    <t>75</t>
  </si>
  <si>
    <t>419</t>
  </si>
  <si>
    <t>2.398</t>
  </si>
  <si>
    <t>1.105</t>
  </si>
  <si>
    <t>1.600</t>
  </si>
  <si>
    <t>700</t>
  </si>
  <si>
    <t>&gt; 850</t>
  </si>
  <si>
    <t>&gt;300</t>
  </si>
  <si>
    <t>&gt;12</t>
  </si>
  <si>
    <t>RENEGOCIAÇÃO</t>
  </si>
  <si>
    <t>189</t>
  </si>
  <si>
    <t>55</t>
  </si>
  <si>
    <t>370</t>
  </si>
  <si>
    <t>00:01:03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</si>
  <si>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</si>
  <si>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</si>
  <si>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00:07:47</t>
  </si>
  <si>
    <t>00:04:29</t>
  </si>
  <si>
    <t>37</t>
  </si>
  <si>
    <t>301</t>
  </si>
  <si>
    <t>107</t>
  </si>
  <si>
    <t>99</t>
  </si>
  <si>
    <t>70</t>
  </si>
  <si>
    <t>312</t>
  </si>
  <si>
    <t>1.718</t>
  </si>
  <si>
    <t>1.590</t>
  </si>
  <si>
    <t>94</t>
  </si>
  <si>
    <t>314</t>
  </si>
  <si>
    <t>00:02:20</t>
  </si>
  <si>
    <t>278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</si>
  <si>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</si>
  <si>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</si>
  <si>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175</t>
  </si>
  <si>
    <t>00:03:58</t>
  </si>
  <si>
    <t>00:06:45</t>
  </si>
  <si>
    <t>93</t>
  </si>
  <si>
    <t>286</t>
  </si>
  <si>
    <t>2.006</t>
  </si>
  <si>
    <t>919</t>
  </si>
  <si>
    <t>171</t>
  </si>
  <si>
    <t>574</t>
  </si>
  <si>
    <t>00:01:18</t>
  </si>
  <si>
    <t>321</t>
  </si>
  <si>
    <t>123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</si>
  <si>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</si>
  <si>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</si>
  <si>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192</t>
  </si>
  <si>
    <t>00:04:56</t>
  </si>
  <si>
    <t>23</t>
  </si>
  <si>
    <t>00:03:31</t>
  </si>
  <si>
    <t>64</t>
  </si>
  <si>
    <t>319</t>
  </si>
  <si>
    <t>190</t>
  </si>
  <si>
    <t>165</t>
  </si>
  <si>
    <t>2.191</t>
  </si>
  <si>
    <t>1.218</t>
  </si>
  <si>
    <t>&gt; 812</t>
  </si>
  <si>
    <t>&gt;900</t>
  </si>
  <si>
    <t>&gt; 5.915</t>
  </si>
  <si>
    <t>MÉTRICA MATRIZ FEVEREIRO 2026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</si>
  <si>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FLUCTUS</t>
    </r>
  </si>
  <si>
    <r>
      <rPr>
        <sz val="12"/>
        <color theme="1"/>
        <rFont val="Arial"/>
      </rPr>
      <t xml:space="preserve">Tempo Médio de Espera na Fila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</si>
  <si>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</si>
  <si>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FLUCTUS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</si>
  <si>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FLUCTUS</t>
    </r>
  </si>
  <si>
    <t>4.49</t>
  </si>
  <si>
    <t>4.25</t>
  </si>
  <si>
    <r>
      <rPr>
        <sz val="12"/>
        <color theme="1"/>
        <rFont val="Arial"/>
      </rPr>
      <t xml:space="preserve">Taxa de Cumprimento de SLA em (%) Ativação de Login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</si>
  <si>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Realizados pela Equipe - </t>
    </r>
    <r>
      <rPr>
        <b/>
        <sz val="12"/>
        <color theme="1"/>
        <rFont val="Arial"/>
      </rPr>
      <t>N2</t>
    </r>
  </si>
  <si>
    <t>3.084</t>
  </si>
  <si>
    <r>
      <rPr>
        <sz val="12"/>
        <color theme="1"/>
        <rFont val="Arial"/>
      </rPr>
      <t xml:space="preserve">Taxa de Cumprimento de SLA em (%) Suporte Interno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</si>
  <si>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</si>
  <si>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t>2.137</t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</si>
  <si>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</si>
  <si>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4.591</t>
  </si>
  <si>
    <t>3.962</t>
  </si>
  <si>
    <t>2.334</t>
  </si>
  <si>
    <t>1.827</t>
  </si>
  <si>
    <t>12.714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</si>
  <si>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</si>
  <si>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5.066</t>
  </si>
  <si>
    <t>4.632</t>
  </si>
  <si>
    <t>2.849</t>
  </si>
  <si>
    <t>2.304</t>
  </si>
  <si>
    <t>14.851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</si>
  <si>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</si>
  <si>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</si>
  <si>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97%</t>
  </si>
  <si>
    <t>96,84%</t>
  </si>
  <si>
    <t>97,44%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</si>
  <si>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</si>
  <si>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78.600</t>
  </si>
  <si>
    <t>78.605</t>
  </si>
  <si>
    <t>78.651</t>
  </si>
  <si>
    <t>78.708</t>
  </si>
  <si>
    <t>132</t>
  </si>
  <si>
    <t>713</t>
  </si>
  <si>
    <t>306</t>
  </si>
  <si>
    <t>83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</si>
  <si>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</si>
  <si>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</si>
  <si>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269</t>
  </si>
  <si>
    <t>00:05:09</t>
  </si>
  <si>
    <t>00:04:03</t>
  </si>
  <si>
    <t>82</t>
  </si>
  <si>
    <t>246</t>
  </si>
  <si>
    <t>232</t>
  </si>
  <si>
    <t>42</t>
  </si>
  <si>
    <t>393</t>
  </si>
  <si>
    <t>2.791</t>
  </si>
  <si>
    <t>1.800</t>
  </si>
  <si>
    <t>2.200</t>
  </si>
  <si>
    <t>1.300</t>
  </si>
  <si>
    <t>&gt; 6.792</t>
  </si>
  <si>
    <t>345</t>
  </si>
  <si>
    <t>229</t>
  </si>
  <si>
    <t>785</t>
  </si>
  <si>
    <t>00:03:29</t>
  </si>
  <si>
    <t>308</t>
  </si>
  <si>
    <t>116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</si>
  <si>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</si>
  <si>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06:29:45 ⚠️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</si>
  <si>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</si>
  <si>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316</t>
  </si>
  <si>
    <t>00:03:19</t>
  </si>
  <si>
    <t>2</t>
  </si>
  <si>
    <t>00:04:30</t>
  </si>
  <si>
    <t>409</t>
  </si>
  <si>
    <t>159</t>
  </si>
  <si>
    <t>502</t>
  </si>
  <si>
    <t>2.270</t>
  </si>
  <si>
    <t>1.692</t>
  </si>
  <si>
    <t>193</t>
  </si>
  <si>
    <t>238</t>
  </si>
  <si>
    <t>242</t>
  </si>
  <si>
    <t>00:03:35</t>
  </si>
  <si>
    <t>183</t>
  </si>
  <si>
    <t>115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</si>
  <si>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</si>
  <si>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</si>
  <si>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144</t>
  </si>
  <si>
    <t>1</t>
  </si>
  <si>
    <t>00:07:06</t>
  </si>
  <si>
    <t>78</t>
  </si>
  <si>
    <t>00:09:05</t>
  </si>
  <si>
    <t>53</t>
  </si>
  <si>
    <t>264</t>
  </si>
  <si>
    <t>1.338</t>
  </si>
  <si>
    <t>996</t>
  </si>
  <si>
    <t>QUANTIDADE
DE ATENDIMENTO
OPASuite!</t>
  </si>
  <si>
    <t>ADELAIDY VITÓRIA</t>
  </si>
  <si>
    <t>4.19</t>
  </si>
  <si>
    <t>4.47</t>
  </si>
  <si>
    <t>4.14</t>
  </si>
  <si>
    <t>97</t>
  </si>
  <si>
    <t>212</t>
  </si>
  <si>
    <t>4.42</t>
  </si>
  <si>
    <t>00:07:42</t>
  </si>
  <si>
    <t>4.76</t>
  </si>
  <si>
    <t>EMANUELE ARAÚJO</t>
  </si>
  <si>
    <t>4.60</t>
  </si>
  <si>
    <t>4.58</t>
  </si>
  <si>
    <t>JENNYFER TAVARES</t>
  </si>
  <si>
    <t>4.13</t>
  </si>
  <si>
    <t>4.72</t>
  </si>
  <si>
    <t>4.23</t>
  </si>
  <si>
    <t>MATHEUS MERELES</t>
  </si>
  <si>
    <t>4.39</t>
  </si>
  <si>
    <t>4.67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</si>
  <si>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</si>
  <si>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4.59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</si>
  <si>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</si>
  <si>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48</t>
  </si>
  <si>
    <t>4.62</t>
  </si>
  <si>
    <t>00:05:07</t>
  </si>
  <si>
    <t>00:04:59</t>
  </si>
  <si>
    <t>77</t>
  </si>
  <si>
    <t>4.45</t>
  </si>
  <si>
    <t>44</t>
  </si>
  <si>
    <t>4.65</t>
  </si>
  <si>
    <t>YURI GADELHA</t>
  </si>
  <si>
    <t>18</t>
  </si>
  <si>
    <t>4.70</t>
  </si>
  <si>
    <t>847</t>
  </si>
  <si>
    <t>980</t>
  </si>
  <si>
    <t>&gt; 999</t>
  </si>
  <si>
    <t>1.400</t>
  </si>
  <si>
    <t>1.000</t>
  </si>
  <si>
    <t>MÊS ANTERIOR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</si>
  <si>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OPA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</si>
  <si>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</si>
  <si>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</si>
  <si>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Quantidade de atendimento realizado pela IA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</si>
  <si>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OPA</t>
    </r>
  </si>
  <si>
    <t>4.48</t>
  </si>
  <si>
    <t>4.52</t>
  </si>
  <si>
    <r>
      <rPr>
        <sz val="12"/>
        <color theme="1"/>
        <rFont val="Arial"/>
      </rPr>
      <t xml:space="preserve">Taxa de Cumprimento de SLA em (%) Ativação de Login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</si>
  <si>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Realizados pela Equipe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</si>
  <si>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</si>
  <si>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</si>
  <si>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7.193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</si>
  <si>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</si>
  <si>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9.336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</si>
  <si>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</si>
  <si>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</si>
  <si>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99%</t>
  </si>
  <si>
    <t>99.28%</t>
  </si>
  <si>
    <t>2.78%</t>
  </si>
  <si>
    <t>2.69%</t>
  </si>
  <si>
    <t>2.77%</t>
  </si>
  <si>
    <t>2.93%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</si>
  <si>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</si>
  <si>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78.780</t>
  </si>
  <si>
    <t>78.849</t>
  </si>
  <si>
    <t>79.967</t>
  </si>
  <si>
    <t>78.663</t>
  </si>
  <si>
    <t>4.64</t>
  </si>
  <si>
    <t>4.63</t>
  </si>
  <si>
    <t>4.15</t>
  </si>
  <si>
    <t>4.05</t>
  </si>
  <si>
    <t>4.73</t>
  </si>
  <si>
    <t>JOÃO PAULO BARBOSA</t>
  </si>
  <si>
    <t>4.68</t>
  </si>
  <si>
    <t>7</t>
  </si>
  <si>
    <t>MIRIAN BRITO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</si>
  <si>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</si>
  <si>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4.55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</si>
  <si>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</si>
  <si>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12</t>
  </si>
  <si>
    <t>4.54</t>
  </si>
  <si>
    <t>4.61</t>
  </si>
  <si>
    <t>54</t>
  </si>
  <si>
    <t>1000</t>
  </si>
  <si>
    <t>0</t>
  </si>
  <si>
    <t>6</t>
  </si>
  <si>
    <t>34</t>
  </si>
  <si>
    <t>19</t>
  </si>
  <si>
    <t>69</t>
  </si>
  <si>
    <t>4.56</t>
  </si>
  <si>
    <t>4.43</t>
  </si>
  <si>
    <t>4.07</t>
  </si>
  <si>
    <t>4.82</t>
  </si>
  <si>
    <t>4.80</t>
  </si>
  <si>
    <t>36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</si>
  <si>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</si>
  <si>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4.08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</si>
  <si>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</si>
  <si>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16</t>
  </si>
  <si>
    <t>22</t>
  </si>
  <si>
    <t>4</t>
  </si>
  <si>
    <t>4.00</t>
  </si>
  <si>
    <t>63</t>
  </si>
  <si>
    <t>79</t>
  </si>
  <si>
    <t>60</t>
  </si>
  <si>
    <t>4.79</t>
  </si>
  <si>
    <t>01:42:36</t>
  </si>
  <si>
    <t>EZEQUIEL RICARDO FIGUEIREDO</t>
  </si>
  <si>
    <t>JULIANA SANTIAGO</t>
  </si>
  <si>
    <t>LEANDRO ALVES</t>
  </si>
  <si>
    <t>LUCAS MAYER</t>
  </si>
  <si>
    <t>4.86</t>
  </si>
  <si>
    <t>4.71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</si>
  <si>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</si>
  <si>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</si>
  <si>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26</t>
  </si>
  <si>
    <t>4.41</t>
  </si>
  <si>
    <t>4.74</t>
  </si>
  <si>
    <t>01:25:26</t>
  </si>
  <si>
    <t>4.26</t>
  </si>
  <si>
    <t>4.83</t>
  </si>
  <si>
    <t>4.81</t>
  </si>
  <si>
    <t>4.78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</si>
  <si>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</si>
  <si>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3.90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</si>
  <si>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</si>
  <si>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ULTIMA SEMANA</t>
  </si>
  <si>
    <r>
      <rPr>
        <sz val="12"/>
        <color theme="1"/>
        <rFont val="Arial"/>
      </rPr>
      <t>Tempo Médio de Atendimento -</t>
    </r>
    <r>
      <rPr>
        <b/>
        <sz val="12"/>
        <color theme="1"/>
        <rFont val="Arial"/>
      </rPr>
      <t xml:space="preserve"> OPA</t>
    </r>
  </si>
  <si>
    <r>
      <rPr>
        <sz val="12"/>
        <color theme="1"/>
        <rFont val="Arial"/>
      </rPr>
      <t xml:space="preserve">Tempo Médio de Resposta ao Cliente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</si>
  <si>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Tempo Médio de Resposta do Cliente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</si>
  <si>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Quantidade de atendimento realizado pela IA - </t>
    </r>
    <r>
      <rPr>
        <b/>
        <sz val="12"/>
        <color theme="1"/>
        <rFont val="Arial"/>
      </rPr>
      <t>OPA</t>
    </r>
  </si>
  <si>
    <r>
      <rPr>
        <sz val="12"/>
        <color theme="1"/>
        <rFont val="Arial"/>
      </rPr>
      <t xml:space="preserve">Qualidade Percebida na Avaliação Geral - </t>
    </r>
    <r>
      <rPr>
        <b/>
        <sz val="12"/>
        <color theme="1"/>
        <rFont val="Arial"/>
      </rPr>
      <t>OPA</t>
    </r>
  </si>
  <si>
    <t>4.53</t>
  </si>
  <si>
    <t>4.51</t>
  </si>
  <si>
    <r>
      <rPr>
        <sz val="12"/>
        <color theme="1"/>
        <rFont val="Arial"/>
      </rPr>
      <t xml:space="preserve">Taxa de Cumprimento de SLA em (%) Ativação de Login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</si>
  <si>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Realizados pela Equipe - </t>
    </r>
    <r>
      <rPr>
        <b/>
        <sz val="12"/>
        <color theme="1"/>
        <rFont val="Arial"/>
      </rPr>
      <t>N2</t>
    </r>
  </si>
  <si>
    <r>
      <rPr>
        <sz val="12"/>
        <color theme="1"/>
        <rFont val="Arial"/>
      </rPr>
      <t xml:space="preserve">Quantidade de Atendimentos que foi a campo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</si>
  <si>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Quantidade de Atendimentos Solucionados - </t>
    </r>
    <r>
      <rPr>
        <b/>
        <sz val="12"/>
        <color theme="1"/>
        <rFont val="Arial"/>
      </rPr>
      <t>IXC</t>
    </r>
  </si>
  <si>
    <t>1.888</t>
  </si>
  <si>
    <r>
      <rPr>
        <sz val="12"/>
        <color theme="1"/>
        <rFont val="Arial"/>
      </rPr>
      <t xml:space="preserve">Quantidade de Atendimentos realizados - </t>
    </r>
    <r>
      <rPr>
        <b/>
        <sz val="12"/>
        <color theme="1"/>
        <rFont val="Arial"/>
      </rPr>
      <t>IXC</t>
    </r>
  </si>
  <si>
    <t>2.457</t>
  </si>
  <si>
    <r>
      <rPr>
        <sz val="12"/>
        <color theme="1"/>
        <rFont val="Arial"/>
      </rPr>
      <t xml:space="preserve">Quantidade de Pesquisa de Satisfação Realizados - </t>
    </r>
    <r>
      <rPr>
        <b/>
        <sz val="12"/>
        <color theme="1"/>
        <rFont val="Arial"/>
      </rPr>
      <t>IXC</t>
    </r>
  </si>
  <si>
    <r>
      <rPr>
        <sz val="12"/>
        <color theme="1"/>
        <rFont val="Arial"/>
      </rPr>
      <t xml:space="preserve">Qualidade Percebida na Satisfação em % - </t>
    </r>
    <r>
      <rPr>
        <b/>
        <sz val="12"/>
        <color theme="1"/>
        <rFont val="Arial"/>
      </rPr>
      <t>IXC</t>
    </r>
  </si>
  <si>
    <t>3,35%</t>
  </si>
  <si>
    <t>2,95%</t>
  </si>
  <si>
    <t>3.48%</t>
  </si>
  <si>
    <r>
      <rPr>
        <sz val="12"/>
        <color theme="1"/>
        <rFont val="Arial"/>
      </rPr>
      <t xml:space="preserve">Quantidade Total de Cliente UNI - </t>
    </r>
    <r>
      <rPr>
        <b/>
        <sz val="12"/>
        <color theme="1"/>
        <rFont val="Arial"/>
      </rPr>
      <t>IXC</t>
    </r>
  </si>
  <si>
    <t>78.857</t>
  </si>
  <si>
    <t>79.018</t>
  </si>
  <si>
    <t>79.072</t>
  </si>
  <si>
    <t>79.195</t>
  </si>
  <si>
    <t>167</t>
  </si>
  <si>
    <t>01:19:29</t>
  </si>
  <si>
    <t>3.50</t>
  </si>
  <si>
    <t>4.75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</si>
  <si>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</si>
  <si>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</si>
  <si>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108</t>
  </si>
  <si>
    <t>4.10</t>
  </si>
  <si>
    <t>4.46</t>
  </si>
  <si>
    <t>195</t>
  </si>
  <si>
    <t>01:12:27</t>
  </si>
  <si>
    <t>SR</t>
  </si>
  <si>
    <t>4.89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</si>
  <si>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</si>
  <si>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</si>
  <si>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17</t>
  </si>
  <si>
    <t>51</t>
  </si>
  <si>
    <t>161</t>
  </si>
  <si>
    <t>4..3</t>
  </si>
  <si>
    <t>PROTOCOLO</t>
  </si>
  <si>
    <t>00:50:12</t>
  </si>
  <si>
    <t>OK</t>
  </si>
  <si>
    <t>AUMENTAR O NPS</t>
  </si>
  <si>
    <t>4.85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</si>
  <si>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</si>
  <si>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t>TMR/TMA + PROCOTOLO</t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</si>
  <si>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</si>
  <si>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203</t>
  </si>
  <si>
    <t>00:56:14</t>
  </si>
  <si>
    <r>
      <rPr>
        <sz val="10"/>
        <color theme="1"/>
        <rFont val="Arial"/>
      </rPr>
      <t xml:space="preserve">NICOLY SILVA MALESCZA  </t>
    </r>
    <r>
      <rPr>
        <b/>
        <sz val="10"/>
        <color theme="1"/>
        <rFont val="Arial"/>
      </rPr>
      <t>(financeiro) ⚠️</t>
    </r>
  </si>
  <si>
    <r>
      <rPr>
        <sz val="10"/>
        <color theme="1"/>
        <rFont val="Arial"/>
      </rPr>
      <t xml:space="preserve">VICTORIA CELESTINO DA SILVA </t>
    </r>
    <r>
      <rPr>
        <b/>
        <sz val="10"/>
        <color theme="1"/>
        <rFont val="Arial"/>
      </rPr>
      <t>(financeiro)</t>
    </r>
    <r>
      <rPr>
        <sz val="10"/>
        <color theme="1"/>
        <rFont val="Arial"/>
      </rPr>
      <t xml:space="preserve"> ⚠️</t>
    </r>
  </si>
  <si>
    <t>MÉTRICA MATRIZ DEZ (1° SEMANA 1~7)</t>
  </si>
  <si>
    <t>MÉTRICA MATRIZ DEZ (2° SEMANA 8~14)</t>
  </si>
  <si>
    <t>MÉTRICA MATRIZ DEZ (3° SEMANA 15~21)</t>
  </si>
  <si>
    <t>MÉTRICA MATRIZ DEZ (4° SEMANA 22~28)</t>
  </si>
  <si>
    <t>MÉTRICA MATRIZ DEZ (5° SEMANA 29~31)</t>
  </si>
  <si>
    <t>MÉTRICA MATRIZ JAN (1° SEMANA 1~10)</t>
  </si>
  <si>
    <t>MÉTRICA MATRIZ JAN (2° SEMANA 11~17)</t>
  </si>
  <si>
    <t>MÉTRICA MATRIZ JAN (3° SEMANA 18~24)</t>
  </si>
  <si>
    <t>MÉTRICA MATRIZ JAN (4° SEMANA 25~31)</t>
  </si>
  <si>
    <t>MÉTRICA MATRIZ FEV (1° SEMANA 1~7)</t>
  </si>
  <si>
    <t>MÉTRICA MATRIZ FEV (2° SEMANA 8~14)</t>
  </si>
  <si>
    <t>MÉTRICA MATRIZ FEV (3° SEMANA 15~21)</t>
  </si>
  <si>
    <t>MÉTRICA MATRIZ FEV (4° SEMANA 22~28)</t>
  </si>
  <si>
    <t>MÉTRICA MATRIZ ABRIL 2026</t>
  </si>
  <si>
    <t>MÉTRICA MATRIZ ABR (1° SEMANA 29~04)</t>
  </si>
  <si>
    <t>MÉTRICA MATRIZ ABR (2° SEMANA 05~11)</t>
  </si>
  <si>
    <t>MÉTRICA MATRIZ ABR (3° SEMANA 12~18)</t>
  </si>
  <si>
    <t>MÉTRICA MATRIZ ABR (4° SEMANA 19~25)</t>
  </si>
  <si>
    <t>MÉTRICA MATRIZ MARÇO 2026</t>
  </si>
  <si>
    <t>MÉTRICA MATRIZ MAR (1° SEMANA 1~7)</t>
  </si>
  <si>
    <t>MÉTRICA MATRIZ MAR (2° SEMANA 8~14)</t>
  </si>
  <si>
    <t>MÉTRICA MATRIZ MAR (3° SEMANA 15~21)</t>
  </si>
  <si>
    <t>MÉTRICA MATRIZ MAR (4° SEMANA 22~28)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</si>
</sst>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m"/>
    <numFmt numFmtId="165" formatCode="d/m/yyyy"/>
  </numFmts>
  <fonts count="23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5"/>
      <color theme="1"/>
      <name val="Arial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5"/>
      <color theme="1"/>
      <name val="Arial"/>
    </font>
    <font>
      <b/>
      <sz val="20"/>
      <color theme="1"/>
      <name val="Calibri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0"/>
      <color rgb="FF333333"/>
      <name val="System-ui"/>
    </font>
    <font>
      <b/>
      <sz val="10"/>
      <color rgb="FF333333"/>
      <name val="Arial"/>
    </font>
    <font>
      <b/>
      <sz val="11"/>
      <color rgb="FF333333"/>
      <name val="System-ui"/>
    </font>
    <font>
      <b/>
      <sz val="11"/>
      <color rgb="FF333333"/>
      <name val="Arial"/>
    </font>
    <font>
      <b/>
      <sz val="10"/>
      <color rgb="FF101723"/>
      <name val="Arial"/>
    </font>
    <font>
      <b/>
      <sz val="11"/>
      <color theme="1"/>
      <name val="Arial"/>
    </font>
    <font>
      <b/>
      <sz val="11"/>
      <color theme="1"/>
      <name val="System-ui"/>
    </font>
    <font>
      <b/>
      <sz val="10"/>
      <color theme="1"/>
      <name val="Arial"/>
    </font>
    <font>
      <b/>
      <sz val="11"/>
      <color theme="2"/>
      <name val="Arial"/>
      <family val="2"/>
    </font>
    <font>
      <b/>
      <sz val="10"/>
      <color theme="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rgb="FFA61C00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81">
    <xf numFmtId="0" fontId="0" fillId="0" borderId="0" xfId="0"/>
    <xf numFmtId="0" fontId="5" fillId="0" borderId="0" xfId="0" applyFont="1"/>
    <xf numFmtId="3" fontId="3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0" fontId="9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0" fillId="2" borderId="0" xfId="0" applyFont="1" applyFill="1"/>
    <xf numFmtId="0" fontId="10" fillId="0" borderId="0" xfId="0" applyFont="1"/>
    <xf numFmtId="0" fontId="11" fillId="7" borderId="3" xfId="0" applyFont="1" applyFill="1" applyBorder="1"/>
    <xf numFmtId="21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/>
    <xf numFmtId="9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center"/>
    </xf>
    <xf numFmtId="10" fontId="10" fillId="2" borderId="1" xfId="0" applyNumberFormat="1" applyFont="1" applyFill="1" applyBorder="1" applyAlignment="1">
      <alignment horizontal="center"/>
    </xf>
    <xf numFmtId="0" fontId="12" fillId="6" borderId="3" xfId="0" applyFont="1" applyFill="1" applyBorder="1"/>
    <xf numFmtId="3" fontId="7" fillId="7" borderId="9" xfId="0" applyNumberFormat="1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10" fillId="7" borderId="1" xfId="0" applyFont="1" applyFill="1" applyBorder="1"/>
    <xf numFmtId="0" fontId="7" fillId="2" borderId="1" xfId="0" applyFont="1" applyFill="1" applyBorder="1" applyAlignment="1">
      <alignment horizontal="center"/>
    </xf>
    <xf numFmtId="21" fontId="10" fillId="2" borderId="4" xfId="0" applyNumberFormat="1" applyFont="1" applyFill="1" applyBorder="1" applyAlignment="1">
      <alignment horizontal="center"/>
    </xf>
    <xf numFmtId="21" fontId="10" fillId="0" borderId="1" xfId="0" applyNumberFormat="1" applyFont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21" fontId="10" fillId="4" borderId="1" xfId="0" applyNumberFormat="1" applyFont="1" applyFill="1" applyBorder="1" applyAlignment="1">
      <alignment horizontal="center"/>
    </xf>
    <xf numFmtId="21" fontId="10" fillId="4" borderId="4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0" fillId="7" borderId="0" xfId="0" applyFont="1" applyFill="1"/>
    <xf numFmtId="0" fontId="5" fillId="7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49" fontId="7" fillId="4" borderId="6" xfId="0" applyNumberFormat="1" applyFont="1" applyFill="1" applyBorder="1" applyAlignment="1">
      <alignment horizontal="center"/>
    </xf>
    <xf numFmtId="0" fontId="7" fillId="8" borderId="1" xfId="0" applyFont="1" applyFill="1" applyBorder="1"/>
    <xf numFmtId="0" fontId="10" fillId="4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1" xfId="0" applyFont="1" applyFill="1" applyBorder="1"/>
    <xf numFmtId="0" fontId="1" fillId="7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3" fontId="10" fillId="0" borderId="0" xfId="0" applyNumberFormat="1" applyFont="1"/>
    <xf numFmtId="21" fontId="10" fillId="8" borderId="1" xfId="0" applyNumberFormat="1" applyFont="1" applyFill="1" applyBorder="1" applyAlignment="1">
      <alignment horizontal="center"/>
    </xf>
    <xf numFmtId="0" fontId="10" fillId="9" borderId="0" xfId="0" applyFont="1" applyFill="1"/>
    <xf numFmtId="0" fontId="10" fillId="10" borderId="0" xfId="0" applyFont="1" applyFill="1"/>
    <xf numFmtId="0" fontId="10" fillId="11" borderId="0" xfId="0" applyFont="1" applyFill="1"/>
    <xf numFmtId="0" fontId="10" fillId="8" borderId="8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3" borderId="0" xfId="0" applyFont="1" applyFill="1"/>
    <xf numFmtId="9" fontId="10" fillId="8" borderId="1" xfId="0" applyNumberFormat="1" applyFont="1" applyFill="1" applyBorder="1" applyAlignment="1">
      <alignment horizontal="center"/>
    </xf>
    <xf numFmtId="3" fontId="10" fillId="8" borderId="1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center"/>
    </xf>
    <xf numFmtId="10" fontId="10" fillId="8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center"/>
    </xf>
    <xf numFmtId="21" fontId="10" fillId="12" borderId="1" xfId="0" applyNumberFormat="1" applyFont="1" applyFill="1" applyBorder="1" applyAlignment="1">
      <alignment horizontal="center"/>
    </xf>
    <xf numFmtId="21" fontId="10" fillId="4" borderId="6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3" fontId="7" fillId="4" borderId="0" xfId="0" applyNumberFormat="1" applyFont="1" applyFill="1" applyAlignment="1">
      <alignment horizontal="left"/>
    </xf>
    <xf numFmtId="0" fontId="7" fillId="2" borderId="0" xfId="0" applyFont="1" applyFill="1"/>
    <xf numFmtId="3" fontId="7" fillId="2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0" fillId="8" borderId="9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21" fontId="10" fillId="12" borderId="4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12" borderId="6" xfId="0" applyFont="1" applyFill="1" applyBorder="1" applyAlignment="1">
      <alignment horizontal="center"/>
    </xf>
    <xf numFmtId="21" fontId="10" fillId="12" borderId="6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4" fillId="2" borderId="0" xfId="0" applyFont="1" applyFill="1"/>
    <xf numFmtId="0" fontId="7" fillId="4" borderId="0" xfId="0" applyFont="1" applyFill="1"/>
    <xf numFmtId="0" fontId="12" fillId="6" borderId="1" xfId="0" applyFont="1" applyFill="1" applyBorder="1"/>
    <xf numFmtId="3" fontId="7" fillId="7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5" fillId="7" borderId="6" xfId="0" applyFont="1" applyFill="1" applyBorder="1"/>
    <xf numFmtId="0" fontId="10" fillId="0" borderId="0" xfId="0" applyFont="1" applyAlignment="1">
      <alignment horizontal="center"/>
    </xf>
    <xf numFmtId="164" fontId="7" fillId="2" borderId="6" xfId="0" applyNumberFormat="1" applyFont="1" applyFill="1" applyBorder="1" applyAlignment="1">
      <alignment horizontal="center"/>
    </xf>
    <xf numFmtId="21" fontId="7" fillId="2" borderId="4" xfId="0" applyNumberFormat="1" applyFont="1" applyFill="1" applyBorder="1" applyAlignment="1">
      <alignment horizontal="center"/>
    </xf>
    <xf numFmtId="21" fontId="7" fillId="2" borderId="1" xfId="0" applyNumberFormat="1" applyFont="1" applyFill="1" applyBorder="1" applyAlignment="1">
      <alignment horizontal="center"/>
    </xf>
    <xf numFmtId="3" fontId="10" fillId="2" borderId="6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12" borderId="1" xfId="0" applyNumberFormat="1" applyFont="1" applyFill="1" applyBorder="1" applyAlignment="1">
      <alignment horizontal="center"/>
    </xf>
    <xf numFmtId="21" fontId="7" fillId="12" borderId="1" xfId="0" applyNumberFormat="1" applyFont="1" applyFill="1" applyBorder="1" applyAlignment="1">
      <alignment horizontal="center"/>
    </xf>
    <xf numFmtId="21" fontId="7" fillId="2" borderId="6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center"/>
    </xf>
    <xf numFmtId="0" fontId="5" fillId="4" borderId="0" xfId="0" applyFont="1" applyFill="1"/>
    <xf numFmtId="49" fontId="7" fillId="8" borderId="1" xfId="0" applyNumberFormat="1" applyFont="1" applyFill="1" applyBorder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5" fontId="7" fillId="4" borderId="0" xfId="0" applyNumberFormat="1" applyFont="1" applyFill="1" applyAlignment="1">
      <alignment horizontal="center"/>
    </xf>
    <xf numFmtId="14" fontId="13" fillId="2" borderId="0" xfId="0" applyNumberFormat="1" applyFont="1" applyFill="1" applyAlignment="1">
      <alignment horizontal="center"/>
    </xf>
    <xf numFmtId="14" fontId="14" fillId="2" borderId="0" xfId="0" applyNumberFormat="1" applyFont="1" applyFill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12" borderId="0" xfId="0" applyFont="1" applyFill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8" borderId="0" xfId="0" applyFont="1" applyFill="1"/>
    <xf numFmtId="0" fontId="1" fillId="7" borderId="10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65" fontId="18" fillId="0" borderId="0" xfId="0" applyNumberFormat="1" applyFont="1" applyAlignment="1">
      <alignment horizontal="center"/>
    </xf>
    <xf numFmtId="0" fontId="19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/>
    <xf numFmtId="20" fontId="7" fillId="0" borderId="0" xfId="0" applyNumberFormat="1" applyFont="1" applyAlignment="1">
      <alignment horizontal="center"/>
    </xf>
    <xf numFmtId="0" fontId="5" fillId="8" borderId="0" xfId="0" applyFont="1" applyFill="1" applyAlignment="1">
      <alignment horizontal="center"/>
    </xf>
    <xf numFmtId="10" fontId="10" fillId="13" borderId="1" xfId="0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0" fillId="12" borderId="6" xfId="0" applyFont="1" applyFill="1" applyBorder="1" applyAlignment="1">
      <alignment horizontal="center"/>
    </xf>
    <xf numFmtId="164" fontId="7" fillId="12" borderId="6" xfId="0" applyNumberFormat="1" applyFont="1" applyFill="1" applyBorder="1" applyAlignment="1">
      <alignment horizontal="center"/>
    </xf>
    <xf numFmtId="49" fontId="6" fillId="12" borderId="1" xfId="0" applyNumberFormat="1" applyFont="1" applyFill="1" applyBorder="1" applyAlignment="1">
      <alignment horizontal="center"/>
    </xf>
    <xf numFmtId="3" fontId="7" fillId="12" borderId="6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21" fontId="10" fillId="2" borderId="6" xfId="0" applyNumberFormat="1" applyFont="1" applyFill="1" applyBorder="1" applyAlignment="1">
      <alignment horizontal="center"/>
    </xf>
    <xf numFmtId="49" fontId="7" fillId="12" borderId="1" xfId="0" applyNumberFormat="1" applyFont="1" applyFill="1" applyBorder="1" applyAlignment="1">
      <alignment horizontal="center"/>
    </xf>
    <xf numFmtId="49" fontId="7" fillId="12" borderId="6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right"/>
    </xf>
    <xf numFmtId="3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49" fontId="7" fillId="14" borderId="1" xfId="0" applyNumberFormat="1" applyFont="1" applyFill="1" applyBorder="1" applyAlignment="1">
      <alignment horizontal="center"/>
    </xf>
    <xf numFmtId="21" fontId="7" fillId="5" borderId="1" xfId="0" applyNumberFormat="1" applyFont="1" applyFill="1" applyBorder="1" applyAlignment="1">
      <alignment horizontal="center"/>
    </xf>
    <xf numFmtId="3" fontId="20" fillId="6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21" fontId="7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3" fontId="7" fillId="14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3" fontId="10" fillId="4" borderId="0" xfId="0" applyNumberFormat="1" applyFont="1" applyFill="1"/>
    <xf numFmtId="164" fontId="5" fillId="2" borderId="0" xfId="0" applyNumberFormat="1" applyFont="1" applyFill="1" applyAlignment="1">
      <alignment horizontal="center"/>
    </xf>
    <xf numFmtId="21" fontId="5" fillId="12" borderId="0" xfId="0" applyNumberFormat="1" applyFont="1" applyFill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21" fontId="7" fillId="15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21" fontId="5" fillId="2" borderId="0" xfId="0" applyNumberFormat="1" applyFont="1" applyFill="1" applyAlignment="1">
      <alignment horizontal="center"/>
    </xf>
    <xf numFmtId="21" fontId="7" fillId="14" borderId="1" xfId="0" applyNumberFormat="1" applyFont="1" applyFill="1" applyBorder="1" applyAlignment="1">
      <alignment horizontal="center"/>
    </xf>
    <xf numFmtId="10" fontId="5" fillId="8" borderId="0" xfId="0" applyNumberFormat="1" applyFont="1" applyFill="1" applyAlignment="1">
      <alignment horizontal="center"/>
    </xf>
    <xf numFmtId="21" fontId="7" fillId="12" borderId="6" xfId="0" applyNumberFormat="1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3" fontId="7" fillId="16" borderId="1" xfId="0" applyNumberFormat="1" applyFont="1" applyFill="1" applyBorder="1" applyAlignment="1">
      <alignment horizontal="center"/>
    </xf>
    <xf numFmtId="3" fontId="10" fillId="2" borderId="0" xfId="0" applyNumberFormat="1" applyFont="1" applyFill="1"/>
    <xf numFmtId="21" fontId="7" fillId="2" borderId="0" xfId="0" applyNumberFormat="1" applyFont="1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3" fontId="7" fillId="17" borderId="6" xfId="0" applyNumberFormat="1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49" fontId="7" fillId="17" borderId="6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21" fontId="5" fillId="2" borderId="1" xfId="0" applyNumberFormat="1" applyFont="1" applyFill="1" applyBorder="1" applyAlignment="1">
      <alignment horizontal="center"/>
    </xf>
    <xf numFmtId="21" fontId="5" fillId="12" borderId="1" xfId="0" applyNumberFormat="1" applyFont="1" applyFill="1" applyBorder="1" applyAlignment="1">
      <alignment horizontal="center"/>
    </xf>
    <xf numFmtId="21" fontId="7" fillId="16" borderId="1" xfId="0" applyNumberFormat="1" applyFont="1" applyFill="1" applyBorder="1" applyAlignment="1">
      <alignment horizontal="center"/>
    </xf>
    <xf numFmtId="49" fontId="7" fillId="17" borderId="1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/>
    </xf>
    <xf numFmtId="0" fontId="10" fillId="7" borderId="3" xfId="0" applyFont="1" applyFill="1" applyBorder="1"/>
    <xf numFmtId="21" fontId="7" fillId="4" borderId="1" xfId="0" applyNumberFormat="1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1" fontId="7" fillId="0" borderId="1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21" fontId="7" fillId="8" borderId="1" xfId="0" applyNumberFormat="1" applyFont="1" applyFill="1" applyBorder="1" applyAlignment="1">
      <alignment horizontal="center"/>
    </xf>
    <xf numFmtId="21" fontId="10" fillId="18" borderId="1" xfId="0" applyNumberFormat="1" applyFont="1" applyFill="1" applyBorder="1" applyAlignment="1">
      <alignment horizontal="center"/>
    </xf>
    <xf numFmtId="0" fontId="10" fillId="18" borderId="1" xfId="0" applyFont="1" applyFill="1" applyBorder="1"/>
    <xf numFmtId="0" fontId="10" fillId="18" borderId="1" xfId="0" applyFont="1" applyFill="1" applyBorder="1" applyAlignment="1">
      <alignment horizontal="center"/>
    </xf>
    <xf numFmtId="9" fontId="7" fillId="8" borderId="1" xfId="0" applyNumberFormat="1" applyFont="1" applyFill="1" applyBorder="1" applyAlignment="1">
      <alignment horizontal="center"/>
    </xf>
    <xf numFmtId="9" fontId="10" fillId="18" borderId="1" xfId="0" applyNumberFormat="1" applyFont="1" applyFill="1" applyBorder="1" applyAlignment="1">
      <alignment horizontal="center"/>
    </xf>
    <xf numFmtId="49" fontId="10" fillId="18" borderId="1" xfId="0" applyNumberFormat="1" applyFont="1" applyFill="1" applyBorder="1" applyAlignment="1">
      <alignment horizontal="center"/>
    </xf>
    <xf numFmtId="10" fontId="7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0" fontId="10" fillId="18" borderId="1" xfId="0" applyNumberFormat="1" applyFont="1" applyFill="1" applyBorder="1" applyAlignment="1">
      <alignment horizontal="center"/>
    </xf>
    <xf numFmtId="21" fontId="7" fillId="4" borderId="6" xfId="0" applyNumberFormat="1" applyFont="1" applyFill="1" applyBorder="1" applyAlignment="1">
      <alignment horizontal="center"/>
    </xf>
    <xf numFmtId="21" fontId="6" fillId="4" borderId="1" xfId="0" applyNumberFormat="1" applyFont="1" applyFill="1" applyBorder="1" applyAlignment="1">
      <alignment horizontal="center"/>
    </xf>
    <xf numFmtId="21" fontId="7" fillId="0" borderId="6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21" fontId="6" fillId="2" borderId="1" xfId="0" applyNumberFormat="1" applyFont="1" applyFill="1" applyBorder="1" applyAlignment="1">
      <alignment horizontal="center"/>
    </xf>
    <xf numFmtId="21" fontId="6" fillId="12" borderId="1" xfId="0" applyNumberFormat="1" applyFont="1" applyFill="1" applyBorder="1" applyAlignment="1">
      <alignment horizontal="center"/>
    </xf>
    <xf numFmtId="21" fontId="6" fillId="2" borderId="6" xfId="0" applyNumberFormat="1" applyFont="1" applyFill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6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4" fillId="4" borderId="6" xfId="0" applyFont="1" applyFill="1" applyBorder="1"/>
    <xf numFmtId="0" fontId="10" fillId="2" borderId="8" xfId="0" applyFont="1" applyFill="1" applyBorder="1" applyAlignment="1">
      <alignment horizontal="center"/>
    </xf>
    <xf numFmtId="0" fontId="4" fillId="0" borderId="9" xfId="0" applyFont="1" applyBorder="1"/>
    <xf numFmtId="3" fontId="7" fillId="7" borderId="2" xfId="0" applyNumberFormat="1" applyFont="1" applyFill="1" applyBorder="1" applyAlignment="1">
      <alignment horizontal="center"/>
    </xf>
    <xf numFmtId="0" fontId="4" fillId="2" borderId="7" xfId="0" applyFont="1" applyFill="1" applyBorder="1"/>
    <xf numFmtId="0" fontId="4" fillId="4" borderId="7" xfId="0" applyFont="1" applyFill="1" applyBorder="1"/>
    <xf numFmtId="0" fontId="4" fillId="0" borderId="7" xfId="0" applyFont="1" applyBorder="1"/>
    <xf numFmtId="0" fontId="4" fillId="4" borderId="3" xfId="0" applyFont="1" applyFill="1" applyBorder="1"/>
    <xf numFmtId="21" fontId="10" fillId="2" borderId="8" xfId="0" applyNumberFormat="1" applyFont="1" applyFill="1" applyBorder="1" applyAlignment="1">
      <alignment horizontal="center"/>
    </xf>
    <xf numFmtId="9" fontId="10" fillId="2" borderId="8" xfId="0" applyNumberFormat="1" applyFont="1" applyFill="1" applyBorder="1" applyAlignment="1">
      <alignment horizontal="center"/>
    </xf>
    <xf numFmtId="49" fontId="10" fillId="2" borderId="8" xfId="0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4" fillId="0" borderId="6" xfId="0" applyFont="1" applyBorder="1"/>
    <xf numFmtId="10" fontId="10" fillId="8" borderId="8" xfId="0" applyNumberFormat="1" applyFont="1" applyFill="1" applyBorder="1" applyAlignment="1">
      <alignment horizontal="center"/>
    </xf>
    <xf numFmtId="3" fontId="10" fillId="8" borderId="8" xfId="0" applyNumberFormat="1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21" fontId="10" fillId="8" borderId="8" xfId="0" applyNumberFormat="1" applyFont="1" applyFill="1" applyBorder="1" applyAlignment="1">
      <alignment horizontal="center"/>
    </xf>
    <xf numFmtId="9" fontId="10" fillId="8" borderId="8" xfId="0" applyNumberFormat="1" applyFont="1" applyFill="1" applyBorder="1" applyAlignment="1">
      <alignment horizontal="center"/>
    </xf>
    <xf numFmtId="49" fontId="10" fillId="8" borderId="8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4" fillId="2" borderId="6" xfId="0" applyFont="1" applyFill="1" applyBorder="1"/>
    <xf numFmtId="0" fontId="7" fillId="2" borderId="0" xfId="0" applyFont="1" applyFill="1" applyAlignment="1">
      <alignment horizontal="center"/>
    </xf>
    <xf numFmtId="0" fontId="0" fillId="0" borderId="0" xfId="0"/>
    <xf numFmtId="0" fontId="7" fillId="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4" fillId="0" borderId="8" xfId="0" applyFont="1" applyBorder="1"/>
    <xf numFmtId="0" fontId="10" fillId="8" borderId="4" xfId="0" applyFont="1" applyFill="1" applyBorder="1" applyAlignment="1">
      <alignment horizontal="center"/>
    </xf>
    <xf numFmtId="0" fontId="4" fillId="0" borderId="5" xfId="0" applyFont="1" applyBorder="1"/>
    <xf numFmtId="0" fontId="4" fillId="4" borderId="5" xfId="0" applyFont="1" applyFill="1" applyBorder="1"/>
    <xf numFmtId="3" fontId="10" fillId="8" borderId="4" xfId="0" applyNumberFormat="1" applyFont="1" applyFill="1" applyBorder="1" applyAlignment="1">
      <alignment horizontal="center"/>
    </xf>
    <xf numFmtId="49" fontId="10" fillId="8" borderId="4" xfId="0" applyNumberFormat="1" applyFont="1" applyFill="1" applyBorder="1" applyAlignment="1">
      <alignment horizontal="center"/>
    </xf>
    <xf numFmtId="0" fontId="21" fillId="19" borderId="1" xfId="0" applyFont="1" applyFill="1" applyBorder="1" applyAlignment="1">
      <alignment horizontal="center"/>
    </xf>
    <xf numFmtId="0" fontId="21" fillId="19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14" fontId="22" fillId="20" borderId="0" xfId="0" applyNumberFormat="1" applyFont="1" applyFill="1" applyAlignment="1">
      <alignment horizontal="center"/>
    </xf>
    <xf numFmtId="3" fontId="22" fillId="20" borderId="0" xfId="0" applyNumberFormat="1" applyFont="1" applyFill="1" applyAlignment="1">
      <alignment horizontal="center"/>
    </xf>
  </cellXfs>
  <cellStyles count="1">
    <cellStyle name="Normal" xfId="0" builtinId="0"/>
  </cellStyles>
  <dxfs count="12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9">
    <tableStyle name="AGOSTO-style" pivot="0" count="2" xr9:uid="{00000000-0011-0000-FFFF-FFFF00000000}">
      <tableStyleElement type="firstRowStripe" dxfId="126"/>
      <tableStyleElement type="secondRowStripe" dxfId="125"/>
    </tableStyle>
    <tableStyle name="SETEMBRO-style" pivot="0" count="2" xr9:uid="{00000000-0011-0000-FFFF-FFFF01000000}">
      <tableStyleElement type="firstRowStripe" dxfId="124"/>
      <tableStyleElement type="secondRowStripe" dxfId="123"/>
    </tableStyle>
    <tableStyle name="SETEMBRO-style 2" pivot="0" count="2" xr9:uid="{00000000-0011-0000-FFFF-FFFF02000000}">
      <tableStyleElement type="firstRowStripe" dxfId="122"/>
      <tableStyleElement type="secondRowStripe" dxfId="121"/>
    </tableStyle>
    <tableStyle name="OUTUBRO-style" pivot="0" count="2" xr9:uid="{00000000-0011-0000-FFFF-FFFF03000000}">
      <tableStyleElement type="firstRowStripe" dxfId="120"/>
      <tableStyleElement type="secondRowStripe" dxfId="119"/>
    </tableStyle>
    <tableStyle name="NOVEMBRO-style" pivot="0" count="2" xr9:uid="{00000000-0011-0000-FFFF-FFFF04000000}">
      <tableStyleElement type="firstRowStripe" dxfId="118"/>
      <tableStyleElement type="secondRowStripe" dxfId="117"/>
    </tableStyle>
    <tableStyle name="NOVEMBRO-style 2" pivot="0" count="2" xr9:uid="{00000000-0011-0000-FFFF-FFFF05000000}">
      <tableStyleElement type="firstRowStripe" dxfId="116"/>
      <tableStyleElement type="secondRowStripe" dxfId="115"/>
    </tableStyle>
    <tableStyle name="NOVEMBRO-style 3" pivot="0" count="2" xr9:uid="{00000000-0011-0000-FFFF-FFFF06000000}">
      <tableStyleElement type="firstRowStripe" dxfId="114"/>
      <tableStyleElement type="secondRowStripe" dxfId="113"/>
    </tableStyle>
    <tableStyle name="DEZEMBRO.25-style" pivot="0" count="2" xr9:uid="{00000000-0011-0000-FFFF-FFFF07000000}">
      <tableStyleElement type="firstRowStripe" dxfId="112"/>
      <tableStyleElement type="secondRowStripe" dxfId="111"/>
    </tableStyle>
    <tableStyle name="DEZEMBRO.25-style 2" pivot="0" count="2" xr9:uid="{00000000-0011-0000-FFFF-FFFF08000000}">
      <tableStyleElement type="firstRowStripe" dxfId="110"/>
      <tableStyleElement type="secondRowStripe" dxfId="109"/>
    </tableStyle>
    <tableStyle name="DEZEMBRO.25-style 3" pivot="0" count="2" xr9:uid="{00000000-0011-0000-FFFF-FFFF09000000}">
      <tableStyleElement type="firstRowStripe" dxfId="108"/>
      <tableStyleElement type="secondRowStripe" dxfId="107"/>
    </tableStyle>
    <tableStyle name="DEZEMBRO.25-style 4" pivot="0" count="2" xr9:uid="{00000000-0011-0000-FFFF-FFFF0A000000}">
      <tableStyleElement type="firstRowStripe" dxfId="106"/>
      <tableStyleElement type="secondRowStripe" dxfId="105"/>
    </tableStyle>
    <tableStyle name="DEZEMBRO.25-style 5" pivot="0" count="2" xr9:uid="{00000000-0011-0000-FFFF-FFFF0B000000}">
      <tableStyleElement type="firstRowStripe" dxfId="104"/>
      <tableStyleElement type="secondRowStripe" dxfId="103"/>
    </tableStyle>
    <tableStyle name="DEZEMBRO.25-style 6" pivot="0" count="2" xr9:uid="{00000000-0011-0000-FFFF-FFFF0C000000}">
      <tableStyleElement type="firstRowStripe" dxfId="102"/>
      <tableStyleElement type="secondRowStripe" dxfId="101"/>
    </tableStyle>
    <tableStyle name="DEZEMBRO.25-style 7" pivot="0" count="2" xr9:uid="{00000000-0011-0000-FFFF-FFFF0D000000}">
      <tableStyleElement type="firstRowStripe" dxfId="100"/>
      <tableStyleElement type="secondRowStripe" dxfId="99"/>
    </tableStyle>
    <tableStyle name="JANEIRO.26-style" pivot="0" count="2" xr9:uid="{00000000-0011-0000-FFFF-FFFF0E000000}">
      <tableStyleElement type="firstRowStripe" dxfId="98"/>
      <tableStyleElement type="secondRowStripe" dxfId="97"/>
    </tableStyle>
    <tableStyle name="JANEIRO.26-style 2" pivot="0" count="2" xr9:uid="{00000000-0011-0000-FFFF-FFFF0F000000}">
      <tableStyleElement type="firstRowStripe" dxfId="96"/>
      <tableStyleElement type="secondRowStripe" dxfId="95"/>
    </tableStyle>
    <tableStyle name="JANEIRO.26-style 3" pivot="0" count="2" xr9:uid="{00000000-0011-0000-FFFF-FFFF10000000}">
      <tableStyleElement type="firstRowStripe" dxfId="94"/>
      <tableStyleElement type="secondRowStripe" dxfId="93"/>
    </tableStyle>
    <tableStyle name="JANEIRO.26-style 4" pivot="0" count="2" xr9:uid="{00000000-0011-0000-FFFF-FFFF11000000}">
      <tableStyleElement type="firstRowStripe" dxfId="92"/>
      <tableStyleElement type="secondRowStripe" dxfId="91"/>
    </tableStyle>
    <tableStyle name="JANEIRO.26-style 5" pivot="0" count="2" xr9:uid="{00000000-0011-0000-FFFF-FFFF12000000}">
      <tableStyleElement type="firstRowStripe" dxfId="90"/>
      <tableStyleElement type="secondRowStripe" dxfId="89"/>
    </tableStyle>
    <tableStyle name="FEVEREIRO.26-style" pivot="0" count="2" xr9:uid="{00000000-0011-0000-FFFF-FFFF13000000}">
      <tableStyleElement type="firstRowStripe" dxfId="88"/>
      <tableStyleElement type="secondRowStripe" dxfId="87"/>
    </tableStyle>
    <tableStyle name="FEVEREIRO.26-style 2" pivot="0" count="2" xr9:uid="{00000000-0011-0000-FFFF-FFFF14000000}">
      <tableStyleElement type="firstRowStripe" dxfId="86"/>
      <tableStyleElement type="secondRowStripe" dxfId="85"/>
    </tableStyle>
    <tableStyle name="FEVEREIRO.26-style 3" pivot="0" count="2" xr9:uid="{00000000-0011-0000-FFFF-FFFF15000000}">
      <tableStyleElement type="firstRowStripe" dxfId="84"/>
      <tableStyleElement type="secondRowStripe" dxfId="83"/>
    </tableStyle>
    <tableStyle name="FEVEREIRO.26-style 4" pivot="0" count="2" xr9:uid="{00000000-0011-0000-FFFF-FFFF16000000}">
      <tableStyleElement type="firstRowStripe" dxfId="82"/>
      <tableStyleElement type="secondRowStripe" dxfId="81"/>
    </tableStyle>
    <tableStyle name="FEVEREIRO.26-style 5" pivot="0" count="2" xr9:uid="{00000000-0011-0000-FFFF-FFFF17000000}">
      <tableStyleElement type="firstRowStripe" dxfId="80"/>
      <tableStyleElement type="secondRowStripe" dxfId="79"/>
    </tableStyle>
    <tableStyle name="FEVEREIRO.26-style 6" pivot="0" count="2" xr9:uid="{00000000-0011-0000-FFFF-FFFF18000000}">
      <tableStyleElement type="firstRowStripe" dxfId="78"/>
      <tableStyleElement type="secondRowStripe" dxfId="77"/>
    </tableStyle>
    <tableStyle name="MARÇO 26-style" pivot="0" count="2" xr9:uid="{00000000-0011-0000-FFFF-FFFF19000000}">
      <tableStyleElement type="firstRowStripe" dxfId="76"/>
      <tableStyleElement type="secondRowStripe" dxfId="75"/>
    </tableStyle>
    <tableStyle name="MARÇO 26-style 2" pivot="0" count="2" xr9:uid="{00000000-0011-0000-FFFF-FFFF1A000000}">
      <tableStyleElement type="firstRowStripe" dxfId="74"/>
      <tableStyleElement type="secondRowStripe" dxfId="73"/>
    </tableStyle>
    <tableStyle name="MARÇO 26-style 3" pivot="0" count="2" xr9:uid="{00000000-0011-0000-FFFF-FFFF1B000000}">
      <tableStyleElement type="firstRowStripe" dxfId="72"/>
      <tableStyleElement type="secondRowStripe" dxfId="71"/>
    </tableStyle>
    <tableStyle name="MARÇO 26-style 4" pivot="0" count="2" xr9:uid="{00000000-0011-0000-FFFF-FFFF1C000000}">
      <tableStyleElement type="firstRowStripe" dxfId="70"/>
      <tableStyleElement type="secondRowStripe" dxfId="69"/>
    </tableStyle>
    <tableStyle name="MARÇO 26-style 5" pivot="0" count="2" xr9:uid="{00000000-0011-0000-FFFF-FFFF1D000000}">
      <tableStyleElement type="firstRowStripe" dxfId="68"/>
      <tableStyleElement type="secondRowStripe" dxfId="67"/>
    </tableStyle>
    <tableStyle name="MARÇO 26-style 6" pivot="0" count="2" xr9:uid="{00000000-0011-0000-FFFF-FFFF1E000000}">
      <tableStyleElement type="firstRowStripe" dxfId="66"/>
      <tableStyleElement type="secondRowStripe" dxfId="65"/>
    </tableStyle>
    <tableStyle name="MARÇO 26-style 7" pivot="0" count="2" xr9:uid="{00000000-0011-0000-FFFF-FFFF1F000000}">
      <tableStyleElement type="firstRowStripe" dxfId="64"/>
      <tableStyleElement type="secondRowStripe" dxfId="63"/>
    </tableStyle>
    <tableStyle name="MARÇO 26-style 8" pivot="0" count="2" xr9:uid="{00000000-0011-0000-FFFF-FFFF20000000}">
      <tableStyleElement type="firstRowStripe" dxfId="62"/>
      <tableStyleElement type="secondRowStripe" dxfId="61"/>
    </tableStyle>
    <tableStyle name="MARÇO 26-style 9" pivot="0" count="2" xr9:uid="{00000000-0011-0000-FFFF-FFFF21000000}">
      <tableStyleElement type="firstRowStripe" dxfId="60"/>
      <tableStyleElement type="secondRowStripe" dxfId="59"/>
    </tableStyle>
    <tableStyle name="MARÇO 26-style 10" pivot="0" count="2" xr9:uid="{00000000-0011-0000-FFFF-FFFF22000000}">
      <tableStyleElement type="firstRowStripe" dxfId="58"/>
      <tableStyleElement type="secondRowStripe" dxfId="57"/>
    </tableStyle>
    <tableStyle name="ABRIL 26-style" pivot="0" count="2" xr9:uid="{00000000-0011-0000-FFFF-FFFF23000000}">
      <tableStyleElement type="firstRowStripe" dxfId="56"/>
      <tableStyleElement type="secondRowStripe" dxfId="55"/>
    </tableStyle>
    <tableStyle name="ABRIL 26-style 2" pivot="0" count="2" xr9:uid="{00000000-0011-0000-FFFF-FFFF24000000}">
      <tableStyleElement type="firstRowStripe" dxfId="54"/>
      <tableStyleElement type="secondRowStripe" dxfId="53"/>
    </tableStyle>
    <tableStyle name="ABRIL 26-style 3" pivot="0" count="2" xr9:uid="{00000000-0011-0000-FFFF-FFFF25000000}">
      <tableStyleElement type="firstRowStripe" dxfId="52"/>
      <tableStyleElement type="secondRowStripe" dxfId="51"/>
    </tableStyle>
    <tableStyle name="ABRIL 26-style 4" pivot="0" count="2" xr9:uid="{00000000-0011-0000-FFFF-FFFF26000000}">
      <tableStyleElement type="firstRowStripe" dxfId="50"/>
      <tableStyleElement type="secondRowStripe" dxfId="49"/>
    </tableStyle>
    <tableStyle name="ABRIL 26-style 5" pivot="0" count="2" xr9:uid="{00000000-0011-0000-FFFF-FFFF27000000}">
      <tableStyleElement type="firstRowStripe" dxfId="48"/>
      <tableStyleElement type="secondRowStripe" dxfId="47"/>
    </tableStyle>
    <tableStyle name="ABRIL 26-style 6" pivot="0" count="2" xr9:uid="{00000000-0011-0000-FFFF-FFFF28000000}">
      <tableStyleElement type="firstRowStripe" dxfId="46"/>
      <tableStyleElement type="secondRowStripe" dxfId="45"/>
    </tableStyle>
    <tableStyle name="ABRIL 26-style 7" pivot="0" count="2" xr9:uid="{00000000-0011-0000-FFFF-FFFF29000000}">
      <tableStyleElement type="firstRowStripe" dxfId="44"/>
      <tableStyleElement type="secondRowStripe" dxfId="43"/>
    </tableStyle>
    <tableStyle name="ABRIL 26-style 8" pivot="0" count="2" xr9:uid="{00000000-0011-0000-FFFF-FFFF2A000000}">
      <tableStyleElement type="firstRowStripe" dxfId="42"/>
      <tableStyleElement type="secondRowStripe" dxfId="41"/>
    </tableStyle>
    <tableStyle name="ABRIL 26-style 9" pivot="0" count="2" xr9:uid="{00000000-0011-0000-FFFF-FFFF2B000000}">
      <tableStyleElement type="firstRowStripe" dxfId="40"/>
      <tableStyleElement type="secondRowStripe" dxfId="39"/>
    </tableStyle>
    <tableStyle name="ABRIL 26-style 10" pivot="0" count="2" xr9:uid="{00000000-0011-0000-FFFF-FFFF2C000000}">
      <tableStyleElement type="firstRowStripe" dxfId="38"/>
      <tableStyleElement type="secondRowStripe" dxfId="37"/>
    </tableStyle>
    <tableStyle name="ABRIL 26-style 11" pivot="0" count="2" xr9:uid="{00000000-0011-0000-FFFF-FFFF2D000000}">
      <tableStyleElement type="firstRowStripe" dxfId="36"/>
      <tableStyleElement type="secondRowStripe" dxfId="35"/>
    </tableStyle>
    <tableStyle name="RASCUNHO MANHÃ-style" pivot="0" count="2" xr9:uid="{00000000-0011-0000-FFFF-FFFF2E000000}">
      <tableStyleElement type="firstRowStripe" dxfId="34"/>
      <tableStyleElement type="secondRowStripe" dxfId="33"/>
    </tableStyle>
    <tableStyle name="RASCUNHO MANHÃ-style 2" pivot="0" count="2" xr9:uid="{00000000-0011-0000-FFFF-FFFF2F000000}">
      <tableStyleElement type="firstRowStripe" dxfId="32"/>
      <tableStyleElement type="secondRowStripe" dxfId="31"/>
    </tableStyle>
    <tableStyle name="RASCUNHO MANHÃ-style 3" pivot="0" count="2" xr9:uid="{00000000-0011-0000-FFFF-FFFF30000000}">
      <tableStyleElement type="firstRowStripe" dxfId="30"/>
      <tableStyleElement type="secondRowStripe" dxfId="29"/>
    </tableStyle>
    <tableStyle name="RASCUNHO MANHÃ-style 4" pivot="0" count="2" xr9:uid="{00000000-0011-0000-FFFF-FFFF31000000}">
      <tableStyleElement type="firstRowStripe" dxfId="28"/>
      <tableStyleElement type="secondRowStripe" dxfId="27"/>
    </tableStyle>
    <tableStyle name="RASCUNHO MANHÃ-style 5" pivot="0" count="2" xr9:uid="{00000000-0011-0000-FFFF-FFFF32000000}">
      <tableStyleElement type="firstRowStripe" dxfId="26"/>
      <tableStyleElement type="secondRowStripe" dxfId="25"/>
    </tableStyle>
    <tableStyle name="RASCUNHO MANHÃ-style 6" pivot="0" count="2" xr9:uid="{00000000-0011-0000-FFFF-FFFF33000000}">
      <tableStyleElement type="firstRowStripe" dxfId="24"/>
      <tableStyleElement type="secondRowStripe" dxfId="23"/>
    </tableStyle>
    <tableStyle name="RASCUNHO MANHÃ-style 7" pivot="0" count="2" xr9:uid="{00000000-0011-0000-FFFF-FFFF34000000}">
      <tableStyleElement type="firstRowStripe" dxfId="22"/>
      <tableStyleElement type="secondRowStripe" dxfId="21"/>
    </tableStyle>
    <tableStyle name="RASCUNHO MANHÃ-style 8" pivot="0" count="2" xr9:uid="{00000000-0011-0000-FFFF-FFFF35000000}">
      <tableStyleElement type="firstRowStripe" dxfId="20"/>
      <tableStyleElement type="secondRowStripe" dxfId="19"/>
    </tableStyle>
    <tableStyle name="RASCUNHO MANHÃ-style 9" pivot="0" count="2" xr9:uid="{00000000-0011-0000-FFFF-FFFF36000000}">
      <tableStyleElement type="firstRowStripe" dxfId="18"/>
      <tableStyleElement type="secondRowStripe" dxfId="17"/>
    </tableStyle>
    <tableStyle name="RASCUNHO MANHÃ-style 10" pivot="0" count="2" xr9:uid="{00000000-0011-0000-FFFF-FFFF37000000}">
      <tableStyleElement type="firstRowStripe" dxfId="16"/>
      <tableStyleElement type="secondRowStripe" dxfId="15"/>
    </tableStyle>
    <tableStyle name="RASCUNHO MANHÃ-style 11" pivot="0" count="2" xr9:uid="{00000000-0011-0000-FFFF-FFFF38000000}">
      <tableStyleElement type="firstRowStripe" dxfId="14"/>
      <tableStyleElement type="secondRowStripe" dxfId="13"/>
    </tableStyle>
    <tableStyle name="RASCUNHO MANHÃ-style 12" pivot="0" count="2" xr9:uid="{00000000-0011-0000-FFFF-FFFF39000000}">
      <tableStyleElement type="firstRowStripe" dxfId="12"/>
      <tableStyleElement type="secondRowStripe" dxfId="11"/>
    </tableStyle>
    <tableStyle name="RASCUNHO MANHÃ-style 13" pivot="0" count="2" xr9:uid="{00000000-0011-0000-FFFF-FFFF3A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CE2-4832-A60C-31175B3975F4}"/>
              </c:ext>
            </c:extLst>
          </c:dPt>
          <c:val>
            <c:numRef>
              <c:f>'JULHO 2025'!$F$15</c:f>
              <c:numCache>
                <c:formatCode>0.00%</c:formatCode>
                <c:ptCount val="1"/>
                <c:pt idx="0">
                  <c:v>0.31319999999999998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E2-4832-A60C-31175B397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559674"/>
        <c:axId val="1859999463"/>
      </c:barChart>
      <c:catAx>
        <c:axId val="1680559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59999463"/>
        <c:crosses val="autoZero"/>
        <c:auto val="1"/>
        <c:lblAlgn val="ctr"/>
        <c:lblOffset val="100"/>
        <c:noMultiLvlLbl val="1"/>
      </c:catAx>
      <c:valAx>
        <c:axId val="1859999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805596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142-4271-B40D-9C30D5B3783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142-4271-B40D-9C30D5B3783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142-4271-B40D-9C30D5B3783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142-4271-B40D-9C30D5B37835}"/>
              </c:ext>
            </c:extLst>
          </c:dPt>
          <c:val>
            <c:numRef>
              <c:f>('AGOSTO 2025'!$B$2:$C$2,'AGOSTO 2025'!$B$3:$C$3,'AGOSTO 2025'!$B$4:$C$4,'AGOSTO 2025'!$B$5:$C$5)</c:f>
              <c:numCache>
                <c:formatCode>General</c:formatCode>
                <c:ptCount val="8"/>
                <c:pt idx="0" formatCode="h:mm:ss">
                  <c:v>4.1990740740740738E-2</c:v>
                </c:pt>
                <c:pt idx="2" formatCode="h:mm:ss">
                  <c:v>3.0902777777777777E-3</c:v>
                </c:pt>
                <c:pt idx="4" formatCode="h:mm:ss">
                  <c:v>2.4537037037037036E-3</c:v>
                </c:pt>
                <c:pt idx="6" formatCode="h:mm:ss">
                  <c:v>3.1712962962962962E-3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42-4271-B40D-9C30D5B37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'AGOSTO 2025'!$B$26:$B$49</c:f>
              <c:numCache>
                <c:formatCode>General</c:formatCode>
                <c:ptCount val="24"/>
                <c:pt idx="0">
                  <c:v>107</c:v>
                </c:pt>
                <c:pt idx="1">
                  <c:v>46</c:v>
                </c:pt>
                <c:pt idx="2">
                  <c:v>16</c:v>
                </c:pt>
                <c:pt idx="3">
                  <c:v>91</c:v>
                </c:pt>
                <c:pt idx="4">
                  <c:v>31</c:v>
                </c:pt>
                <c:pt idx="5" formatCode="#,##0">
                  <c:v>49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24</c:v>
                </c:pt>
                <c:pt idx="10">
                  <c:v>66</c:v>
                </c:pt>
                <c:pt idx="11">
                  <c:v>48</c:v>
                </c:pt>
                <c:pt idx="12">
                  <c:v>51</c:v>
                </c:pt>
                <c:pt idx="13">
                  <c:v>33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66</c:v>
                </c:pt>
                <c:pt idx="19">
                  <c:v>51</c:v>
                </c:pt>
                <c:pt idx="20">
                  <c:v>88</c:v>
                </c:pt>
                <c:pt idx="21">
                  <c:v>69</c:v>
                </c:pt>
                <c:pt idx="22">
                  <c:v>52</c:v>
                </c:pt>
                <c:pt idx="23" formatCode="@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76-44C7-9395-90AF6D1B6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3976914"/>
        <c:axId val="1155766556"/>
      </c:barChart>
      <c:catAx>
        <c:axId val="473976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5766556"/>
        <c:crosses val="autoZero"/>
        <c:auto val="1"/>
        <c:lblAlgn val="ctr"/>
        <c:lblOffset val="100"/>
        <c:noMultiLvlLbl val="1"/>
      </c:catAx>
      <c:valAx>
        <c:axId val="1155766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739769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'AGOSTO 2025'!$G$26:$G$49</c:f>
              <c:numCache>
                <c:formatCode>h:mm:ss</c:formatCode>
                <c:ptCount val="24"/>
                <c:pt idx="0">
                  <c:v>9.3749999999999997E-4</c:v>
                </c:pt>
                <c:pt idx="1">
                  <c:v>1.8518518518518519E-3</c:v>
                </c:pt>
                <c:pt idx="2">
                  <c:v>1.3888888888888889E-3</c:v>
                </c:pt>
                <c:pt idx="3">
                  <c:v>2.3032407407407407E-3</c:v>
                </c:pt>
                <c:pt idx="4">
                  <c:v>2.7430555555555554E-3</c:v>
                </c:pt>
                <c:pt idx="5">
                  <c:v>5.0231481481481481E-3</c:v>
                </c:pt>
                <c:pt idx="6">
                  <c:v>1.3773148148148147E-3</c:v>
                </c:pt>
                <c:pt idx="7">
                  <c:v>6.3194444444444444E-3</c:v>
                </c:pt>
                <c:pt idx="8">
                  <c:v>3.6458333333333334E-3</c:v>
                </c:pt>
                <c:pt idx="9">
                  <c:v>1.3888888888888889E-3</c:v>
                </c:pt>
                <c:pt idx="10">
                  <c:v>5.3240740740740744E-4</c:v>
                </c:pt>
                <c:pt idx="11">
                  <c:v>7.407407407407407E-4</c:v>
                </c:pt>
                <c:pt idx="12">
                  <c:v>1.2847222222222223E-3</c:v>
                </c:pt>
                <c:pt idx="13">
                  <c:v>2.6157407407407405E-3</c:v>
                </c:pt>
                <c:pt idx="14">
                  <c:v>1.736111111111111E-3</c:v>
                </c:pt>
                <c:pt idx="15" formatCode="General">
                  <c:v>0</c:v>
                </c:pt>
                <c:pt idx="16">
                  <c:v>4.4444444444444444E-3</c:v>
                </c:pt>
                <c:pt idx="17">
                  <c:v>1.8402777777777777E-3</c:v>
                </c:pt>
                <c:pt idx="18">
                  <c:v>2.0833333333333333E-3</c:v>
                </c:pt>
                <c:pt idx="19">
                  <c:v>4.6064814814814814E-3</c:v>
                </c:pt>
                <c:pt idx="20">
                  <c:v>2.6041666666666665E-3</c:v>
                </c:pt>
                <c:pt idx="21">
                  <c:v>3.0902777777777777E-3</c:v>
                </c:pt>
                <c:pt idx="22">
                  <c:v>2.8240740740740739E-3</c:v>
                </c:pt>
                <c:pt idx="23">
                  <c:v>1.1226851851851851E-3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91-46CC-B21B-239F1E1FC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054877"/>
        <c:axId val="1309784234"/>
      </c:barChart>
      <c:catAx>
        <c:axId val="1419054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09784234"/>
        <c:crosses val="autoZero"/>
        <c:auto val="1"/>
        <c:lblAlgn val="ctr"/>
        <c:lblOffset val="100"/>
        <c:noMultiLvlLbl val="1"/>
      </c:catAx>
      <c:valAx>
        <c:axId val="1309784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190548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'AGOSTO 2025'!$D$26:$D$49</c:f>
              <c:numCache>
                <c:formatCode>General</c:formatCode>
                <c:ptCount val="24"/>
                <c:pt idx="0">
                  <c:v>4.5999999999999996</c:v>
                </c:pt>
                <c:pt idx="1">
                  <c:v>4.7</c:v>
                </c:pt>
                <c:pt idx="2">
                  <c:v>4.5</c:v>
                </c:pt>
                <c:pt idx="3">
                  <c:v>4.2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0</c:v>
                </c:pt>
                <c:pt idx="8">
                  <c:v>4.5999999999999996</c:v>
                </c:pt>
                <c:pt idx="9">
                  <c:v>4.3</c:v>
                </c:pt>
                <c:pt idx="10">
                  <c:v>4.4000000000000004</c:v>
                </c:pt>
                <c:pt idx="11">
                  <c:v>4.5</c:v>
                </c:pt>
                <c:pt idx="12">
                  <c:v>4.5999999999999996</c:v>
                </c:pt>
                <c:pt idx="13">
                  <c:v>4.4000000000000004</c:v>
                </c:pt>
                <c:pt idx="14">
                  <c:v>4.5999999999999996</c:v>
                </c:pt>
                <c:pt idx="15">
                  <c:v>0</c:v>
                </c:pt>
                <c:pt idx="16">
                  <c:v>4.4000000000000004</c:v>
                </c:pt>
                <c:pt idx="17">
                  <c:v>4.7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4.2</c:v>
                </c:pt>
                <c:pt idx="21">
                  <c:v>4.5</c:v>
                </c:pt>
                <c:pt idx="22">
                  <c:v>4.2</c:v>
                </c:pt>
                <c:pt idx="23">
                  <c:v>4.5999999999999996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18-403D-8E6A-1359ABFE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388133"/>
        <c:axId val="14761014"/>
      </c:barChart>
      <c:catAx>
        <c:axId val="780388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761014"/>
        <c:crosses val="autoZero"/>
        <c:auto val="1"/>
        <c:lblAlgn val="ctr"/>
        <c:lblOffset val="100"/>
        <c:noMultiLvlLbl val="1"/>
      </c:catAx>
      <c:valAx>
        <c:axId val="14761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803881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64D-4C54-A1FB-85C26422792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64D-4C54-A1FB-85C26422792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64D-4C54-A1FB-85C26422792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64D-4C54-A1FB-85C26422792D}"/>
              </c:ext>
            </c:extLst>
          </c:dPt>
          <c:val>
            <c:numRef>
              <c:f>('SETEMBRO 2025'!$B$2:$C$2,'SETEMBRO 2025'!$B$3:$C$3,'SETEMBRO 2025'!$B$4:$C$4,'SETEMBRO 2025'!$B$5:$C$5)</c:f>
              <c:numCache>
                <c:formatCode>General</c:formatCode>
                <c:ptCount val="8"/>
                <c:pt idx="0" formatCode="h:mm:ss">
                  <c:v>4.0011574074074074E-2</c:v>
                </c:pt>
                <c:pt idx="2" formatCode="h:mm:ss">
                  <c:v>5.4166666666666669E-3</c:v>
                </c:pt>
                <c:pt idx="4" formatCode="h:mm:ss">
                  <c:v>4.6180555555555558E-3</c:v>
                </c:pt>
                <c:pt idx="6" formatCode="h:mm:ss">
                  <c:v>3.3333333333333335E-3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4D-4C54-A1FB-85C264227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'SETEMBRO 2025'!$B$27:$B$50</c:f>
              <c:numCache>
                <c:formatCode>General</c:formatCode>
                <c:ptCount val="24"/>
                <c:pt idx="0">
                  <c:v>160</c:v>
                </c:pt>
                <c:pt idx="1">
                  <c:v>67</c:v>
                </c:pt>
                <c:pt idx="2">
                  <c:v>83</c:v>
                </c:pt>
                <c:pt idx="3">
                  <c:v>99</c:v>
                </c:pt>
                <c:pt idx="4" formatCode="#,##0">
                  <c:v>0</c:v>
                </c:pt>
                <c:pt idx="5">
                  <c:v>107</c:v>
                </c:pt>
                <c:pt idx="6" formatCode="#,##0">
                  <c:v>0</c:v>
                </c:pt>
                <c:pt idx="7">
                  <c:v>6</c:v>
                </c:pt>
                <c:pt idx="8" formatCode="#,##0">
                  <c:v>0</c:v>
                </c:pt>
                <c:pt idx="9">
                  <c:v>42</c:v>
                </c:pt>
                <c:pt idx="10">
                  <c:v>239</c:v>
                </c:pt>
                <c:pt idx="11">
                  <c:v>83</c:v>
                </c:pt>
                <c:pt idx="12">
                  <c:v>276</c:v>
                </c:pt>
                <c:pt idx="13">
                  <c:v>37</c:v>
                </c:pt>
                <c:pt idx="14">
                  <c:v>83</c:v>
                </c:pt>
                <c:pt idx="15">
                  <c:v>70</c:v>
                </c:pt>
                <c:pt idx="16">
                  <c:v>19</c:v>
                </c:pt>
                <c:pt idx="17">
                  <c:v>4</c:v>
                </c:pt>
                <c:pt idx="18">
                  <c:v>150</c:v>
                </c:pt>
                <c:pt idx="19">
                  <c:v>125</c:v>
                </c:pt>
                <c:pt idx="20">
                  <c:v>106</c:v>
                </c:pt>
                <c:pt idx="21">
                  <c:v>30</c:v>
                </c:pt>
                <c:pt idx="22">
                  <c:v>106</c:v>
                </c:pt>
                <c:pt idx="23" formatCode="@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2D-4B1A-AECB-D8CD3031D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1067935"/>
        <c:axId val="294433683"/>
      </c:barChart>
      <c:catAx>
        <c:axId val="28106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94433683"/>
        <c:crosses val="autoZero"/>
        <c:auto val="1"/>
        <c:lblAlgn val="ctr"/>
        <c:lblOffset val="100"/>
        <c:noMultiLvlLbl val="1"/>
      </c:catAx>
      <c:valAx>
        <c:axId val="294433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810679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'SETEMBRO 2025'!$G$27:$G$50</c:f>
              <c:numCache>
                <c:formatCode>h:mm:ss</c:formatCode>
                <c:ptCount val="24"/>
                <c:pt idx="0">
                  <c:v>6.6319444444444446E-3</c:v>
                </c:pt>
                <c:pt idx="1">
                  <c:v>5.7407407407407407E-3</c:v>
                </c:pt>
                <c:pt idx="2">
                  <c:v>2.1759259259259258E-3</c:v>
                </c:pt>
                <c:pt idx="3">
                  <c:v>2.7777777777777779E-3</c:v>
                </c:pt>
                <c:pt idx="4" formatCode="General">
                  <c:v>0</c:v>
                </c:pt>
                <c:pt idx="5">
                  <c:v>3.1828703703703702E-3</c:v>
                </c:pt>
                <c:pt idx="6" formatCode="General">
                  <c:v>0</c:v>
                </c:pt>
                <c:pt idx="7">
                  <c:v>5.6712962962962967E-4</c:v>
                </c:pt>
                <c:pt idx="8" formatCode="General">
                  <c:v>0</c:v>
                </c:pt>
                <c:pt idx="9">
                  <c:v>5.5439814814814813E-3</c:v>
                </c:pt>
                <c:pt idx="10">
                  <c:v>6.5393518518518517E-3</c:v>
                </c:pt>
                <c:pt idx="11">
                  <c:v>1.0648148148148149E-3</c:v>
                </c:pt>
                <c:pt idx="12">
                  <c:v>2.638888888888889E-3</c:v>
                </c:pt>
                <c:pt idx="13">
                  <c:v>3.6805555555555554E-3</c:v>
                </c:pt>
                <c:pt idx="14">
                  <c:v>2.4189814814814816E-3</c:v>
                </c:pt>
                <c:pt idx="15">
                  <c:v>3.5763888888888889E-3</c:v>
                </c:pt>
                <c:pt idx="16">
                  <c:v>9.7569444444444448E-3</c:v>
                </c:pt>
                <c:pt idx="17">
                  <c:v>3.2870370370370371E-3</c:v>
                </c:pt>
                <c:pt idx="18">
                  <c:v>7.3726851851851852E-3</c:v>
                </c:pt>
                <c:pt idx="19">
                  <c:v>8.726851851851852E-3</c:v>
                </c:pt>
                <c:pt idx="20">
                  <c:v>3.1712962962962962E-3</c:v>
                </c:pt>
                <c:pt idx="21">
                  <c:v>8.564814814814815E-3</c:v>
                </c:pt>
                <c:pt idx="22">
                  <c:v>7.6504629629629631E-3</c:v>
                </c:pt>
                <c:pt idx="23">
                  <c:v>1.9907407407407408E-3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E8-43F4-87BD-DFC58EE53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191772"/>
        <c:axId val="1262641638"/>
      </c:barChart>
      <c:catAx>
        <c:axId val="1643191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62641638"/>
        <c:crosses val="autoZero"/>
        <c:auto val="1"/>
        <c:lblAlgn val="ctr"/>
        <c:lblOffset val="100"/>
        <c:noMultiLvlLbl val="1"/>
      </c:catAx>
      <c:valAx>
        <c:axId val="126264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431917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'SETEMBRO 2025'!$D$27:$D$50</c:f>
              <c:numCache>
                <c:formatCode>d\.m</c:formatCode>
                <c:ptCount val="24"/>
                <c:pt idx="0">
                  <c:v>45720</c:v>
                </c:pt>
                <c:pt idx="1">
                  <c:v>45781</c:v>
                </c:pt>
                <c:pt idx="2">
                  <c:v>45781</c:v>
                </c:pt>
                <c:pt idx="3">
                  <c:v>45903</c:v>
                </c:pt>
                <c:pt idx="4" formatCode="General">
                  <c:v>0</c:v>
                </c:pt>
                <c:pt idx="5">
                  <c:v>45661</c:v>
                </c:pt>
                <c:pt idx="6" formatCode="General">
                  <c:v>0</c:v>
                </c:pt>
                <c:pt idx="7">
                  <c:v>45842</c:v>
                </c:pt>
                <c:pt idx="8" formatCode="General">
                  <c:v>0</c:v>
                </c:pt>
                <c:pt idx="9" formatCode="General">
                  <c:v>4</c:v>
                </c:pt>
                <c:pt idx="10">
                  <c:v>45781</c:v>
                </c:pt>
                <c:pt idx="11">
                  <c:v>45751</c:v>
                </c:pt>
                <c:pt idx="12">
                  <c:v>45719</c:v>
                </c:pt>
                <c:pt idx="13">
                  <c:v>45750</c:v>
                </c:pt>
                <c:pt idx="14">
                  <c:v>45781</c:v>
                </c:pt>
                <c:pt idx="15" formatCode="General">
                  <c:v>4</c:v>
                </c:pt>
                <c:pt idx="16">
                  <c:v>45751</c:v>
                </c:pt>
                <c:pt idx="17">
                  <c:v>45751</c:v>
                </c:pt>
                <c:pt idx="18">
                  <c:v>45781</c:v>
                </c:pt>
                <c:pt idx="19">
                  <c:v>45812</c:v>
                </c:pt>
                <c:pt idx="20">
                  <c:v>45720</c:v>
                </c:pt>
                <c:pt idx="21">
                  <c:v>45692</c:v>
                </c:pt>
                <c:pt idx="22">
                  <c:v>45903</c:v>
                </c:pt>
                <c:pt idx="23">
                  <c:v>45720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91-4D73-9124-DAA6520C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513920"/>
        <c:axId val="1251381253"/>
      </c:barChart>
      <c:catAx>
        <c:axId val="103451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51381253"/>
        <c:crosses val="autoZero"/>
        <c:auto val="1"/>
        <c:lblAlgn val="ctr"/>
        <c:lblOffset val="100"/>
        <c:noMultiLvlLbl val="1"/>
      </c:catAx>
      <c:valAx>
        <c:axId val="1251381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.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345139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BAD-4ED4-AE1E-AA793B7AACC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BAD-4ED4-AE1E-AA793B7AACC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BAD-4ED4-AE1E-AA793B7AACC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BAD-4ED4-AE1E-AA793B7AACC2}"/>
              </c:ext>
            </c:extLst>
          </c:dPt>
          <c:val>
            <c:numRef>
              <c:f>('OUTUBRO 2025'!$B$2:$D$2,'OUTUBRO 2025'!$B$3:$D$3,'OUTUBRO 2025'!$B$4:$D$4,'OUTUBRO 2025'!$B$5:$D$5)</c:f>
              <c:numCache>
                <c:formatCode>General</c:formatCode>
                <c:ptCount val="12"/>
                <c:pt idx="0" formatCode="h:mm:ss">
                  <c:v>3.9594907407407405E-2</c:v>
                </c:pt>
                <c:pt idx="3" formatCode="h:mm:ss">
                  <c:v>2.4189814814814816E-3</c:v>
                </c:pt>
                <c:pt idx="6" formatCode="h:mm:ss">
                  <c:v>1.8981481481481482E-3</c:v>
                </c:pt>
                <c:pt idx="9" formatCode="h:mm:ss">
                  <c:v>3.1828703703703702E-3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AD-4ED4-AE1E-AA793B7A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'OUTUBRO 2025'!$B$28:$B$51</c:f>
              <c:numCache>
                <c:formatCode>General</c:formatCode>
                <c:ptCount val="24"/>
                <c:pt idx="0">
                  <c:v>154</c:v>
                </c:pt>
                <c:pt idx="1">
                  <c:v>37</c:v>
                </c:pt>
                <c:pt idx="2">
                  <c:v>65</c:v>
                </c:pt>
                <c:pt idx="3">
                  <c:v>77</c:v>
                </c:pt>
                <c:pt idx="4" formatCode="#,##0">
                  <c:v>109</c:v>
                </c:pt>
                <c:pt idx="5">
                  <c:v>132</c:v>
                </c:pt>
                <c:pt idx="6" formatCode="#,##0">
                  <c:v>131</c:v>
                </c:pt>
                <c:pt idx="7">
                  <c:v>6</c:v>
                </c:pt>
                <c:pt idx="8">
                  <c:v>26</c:v>
                </c:pt>
                <c:pt idx="9">
                  <c:v>91</c:v>
                </c:pt>
                <c:pt idx="10">
                  <c:v>104</c:v>
                </c:pt>
                <c:pt idx="11">
                  <c:v>38</c:v>
                </c:pt>
                <c:pt idx="12">
                  <c:v>82</c:v>
                </c:pt>
                <c:pt idx="13">
                  <c:v>140</c:v>
                </c:pt>
                <c:pt idx="14">
                  <c:v>27</c:v>
                </c:pt>
                <c:pt idx="15">
                  <c:v>5</c:v>
                </c:pt>
                <c:pt idx="16">
                  <c:v>141</c:v>
                </c:pt>
                <c:pt idx="17">
                  <c:v>0</c:v>
                </c:pt>
                <c:pt idx="18">
                  <c:v>107</c:v>
                </c:pt>
                <c:pt idx="19">
                  <c:v>75</c:v>
                </c:pt>
                <c:pt idx="20">
                  <c:v>11</c:v>
                </c:pt>
                <c:pt idx="21">
                  <c:v>72</c:v>
                </c:pt>
                <c:pt idx="22" formatCode="@">
                  <c:v>0</c:v>
                </c:pt>
                <c:pt idx="23" formatCode="#,##0">
                  <c:v>1630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93-452B-AA2C-9A3CF93E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404674"/>
        <c:axId val="689516673"/>
      </c:barChart>
      <c:catAx>
        <c:axId val="503404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89516673"/>
        <c:crosses val="autoZero"/>
        <c:auto val="1"/>
        <c:lblAlgn val="ctr"/>
        <c:lblOffset val="100"/>
        <c:noMultiLvlLbl val="1"/>
      </c:catAx>
      <c:valAx>
        <c:axId val="68951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034046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'OUTUBRO 2025'!$H$28:$H$51</c:f>
              <c:numCache>
                <c:formatCode>h:mm:ss</c:formatCode>
                <c:ptCount val="24"/>
                <c:pt idx="0">
                  <c:v>3.2407407407407406E-3</c:v>
                </c:pt>
                <c:pt idx="1">
                  <c:v>2.2222222222222222E-3</c:v>
                </c:pt>
                <c:pt idx="2">
                  <c:v>9.3749999999999997E-4</c:v>
                </c:pt>
                <c:pt idx="3">
                  <c:v>1.4120370370370369E-3</c:v>
                </c:pt>
                <c:pt idx="4">
                  <c:v>2.0833333333333333E-3</c:v>
                </c:pt>
                <c:pt idx="5">
                  <c:v>2.2916666666666667E-3</c:v>
                </c:pt>
                <c:pt idx="6">
                  <c:v>1.1342592592592593E-3</c:v>
                </c:pt>
                <c:pt idx="7">
                  <c:v>6.134259259259259E-4</c:v>
                </c:pt>
                <c:pt idx="8">
                  <c:v>3.2407407407407406E-4</c:v>
                </c:pt>
                <c:pt idx="9">
                  <c:v>7.407407407407407E-4</c:v>
                </c:pt>
                <c:pt idx="10">
                  <c:v>2.4652777777777776E-3</c:v>
                </c:pt>
                <c:pt idx="11">
                  <c:v>8.3333333333333339E-4</c:v>
                </c:pt>
                <c:pt idx="12">
                  <c:v>1.4699074074074074E-3</c:v>
                </c:pt>
                <c:pt idx="13">
                  <c:v>2.6041666666666665E-3</c:v>
                </c:pt>
                <c:pt idx="14">
                  <c:v>6.0185185185185185E-3</c:v>
                </c:pt>
                <c:pt idx="15">
                  <c:v>1.1226851851851851E-3</c:v>
                </c:pt>
                <c:pt idx="16">
                  <c:v>3.1134259259259257E-3</c:v>
                </c:pt>
                <c:pt idx="17" formatCode="General">
                  <c:v>0</c:v>
                </c:pt>
                <c:pt idx="18">
                  <c:v>1.6203703703703703E-3</c:v>
                </c:pt>
                <c:pt idx="19">
                  <c:v>3.1597222222222222E-3</c:v>
                </c:pt>
                <c:pt idx="20">
                  <c:v>7.8703703703703705E-4</c:v>
                </c:pt>
                <c:pt idx="21">
                  <c:v>2.2569444444444442E-3</c:v>
                </c:pt>
                <c:pt idx="22">
                  <c:v>1.25E-3</c:v>
                </c:pt>
                <c:pt idx="2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BC-40A9-AA1B-4EEE6A56F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034186"/>
        <c:axId val="1636998944"/>
      </c:barChart>
      <c:catAx>
        <c:axId val="1627034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36998944"/>
        <c:crosses val="autoZero"/>
        <c:auto val="1"/>
        <c:lblAlgn val="ctr"/>
        <c:lblOffset val="100"/>
        <c:noMultiLvlLbl val="1"/>
      </c:catAx>
      <c:valAx>
        <c:axId val="1636998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270341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'OUTUBRO 2025'!$E$28:$E$51</c:f>
              <c:numCache>
                <c:formatCode>General</c:formatCode>
                <c:ptCount val="24"/>
                <c:pt idx="0">
                  <c:v>84</c:v>
                </c:pt>
                <c:pt idx="1">
                  <c:v>41</c:v>
                </c:pt>
                <c:pt idx="2">
                  <c:v>23</c:v>
                </c:pt>
                <c:pt idx="3">
                  <c:v>37</c:v>
                </c:pt>
                <c:pt idx="4">
                  <c:v>74</c:v>
                </c:pt>
                <c:pt idx="5">
                  <c:v>28</c:v>
                </c:pt>
                <c:pt idx="6">
                  <c:v>42</c:v>
                </c:pt>
                <c:pt idx="7">
                  <c:v>3</c:v>
                </c:pt>
                <c:pt idx="8">
                  <c:v>44</c:v>
                </c:pt>
                <c:pt idx="9">
                  <c:v>56</c:v>
                </c:pt>
                <c:pt idx="10">
                  <c:v>64</c:v>
                </c:pt>
                <c:pt idx="11">
                  <c:v>26</c:v>
                </c:pt>
                <c:pt idx="12">
                  <c:v>43</c:v>
                </c:pt>
                <c:pt idx="13">
                  <c:v>27</c:v>
                </c:pt>
                <c:pt idx="14">
                  <c:v>34</c:v>
                </c:pt>
                <c:pt idx="15">
                  <c:v>7</c:v>
                </c:pt>
                <c:pt idx="16">
                  <c:v>82</c:v>
                </c:pt>
                <c:pt idx="17">
                  <c:v>0</c:v>
                </c:pt>
                <c:pt idx="18">
                  <c:v>50</c:v>
                </c:pt>
                <c:pt idx="19">
                  <c:v>43</c:v>
                </c:pt>
                <c:pt idx="20">
                  <c:v>25</c:v>
                </c:pt>
                <c:pt idx="21">
                  <c:v>25</c:v>
                </c:pt>
                <c:pt idx="22">
                  <c:v>57</c:v>
                </c:pt>
                <c:pt idx="23" formatCode="#,##0">
                  <c:v>1096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CD-4ED0-88FE-A9584A4C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460738"/>
        <c:axId val="1394620030"/>
      </c:barChart>
      <c:catAx>
        <c:axId val="864460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94620030"/>
        <c:crosses val="autoZero"/>
        <c:auto val="1"/>
        <c:lblAlgn val="ctr"/>
        <c:lblOffset val="100"/>
        <c:noMultiLvlLbl val="1"/>
      </c:catAx>
      <c:valAx>
        <c:axId val="1394620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644607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0E2-4BB4-AFDF-F98C9CC9152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0E2-4BB4-AFDF-F98C9CC9152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0E2-4BB4-AFDF-F98C9CC9152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0E2-4BB4-AFDF-F98C9CC91525}"/>
              </c:ext>
            </c:extLst>
          </c:dPt>
          <c:val>
            <c:numRef>
              <c:f>('NOVEMBRO 2025'!$B$2:$D$2,'NOVEMBRO 2025'!$B$3:$D$3,'NOVEMBRO 2025'!$B$4:$D$4,'NOVEMBRO 2025'!$B$5:$D$5)</c:f>
              <c:numCache>
                <c:formatCode>General</c:formatCode>
                <c:ptCount val="12"/>
                <c:pt idx="0" formatCode="h:mm:ss">
                  <c:v>3.7939814814814815E-2</c:v>
                </c:pt>
                <c:pt idx="3" formatCode="h:mm:ss">
                  <c:v>2.3148148148148147E-3</c:v>
                </c:pt>
                <c:pt idx="6" formatCode="h:mm:ss">
                  <c:v>1.3425925925925925E-3</c:v>
                </c:pt>
                <c:pt idx="9" formatCode="h:mm:ss">
                  <c:v>2.638888888888889E-3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E2-4BB4-AFDF-F98C9CC91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'NOVEMBRO 2025'!$B$27:$B$50</c:f>
              <c:numCache>
                <c:formatCode>General</c:formatCode>
                <c:ptCount val="24"/>
                <c:pt idx="0">
                  <c:v>113</c:v>
                </c:pt>
                <c:pt idx="1">
                  <c:v>55</c:v>
                </c:pt>
                <c:pt idx="2">
                  <c:v>48</c:v>
                </c:pt>
                <c:pt idx="3">
                  <c:v>66</c:v>
                </c:pt>
                <c:pt idx="4">
                  <c:v>0</c:v>
                </c:pt>
                <c:pt idx="5" formatCode="#,##0">
                  <c:v>160</c:v>
                </c:pt>
                <c:pt idx="6">
                  <c:v>127</c:v>
                </c:pt>
                <c:pt idx="7" formatCode="#,##0">
                  <c:v>105</c:v>
                </c:pt>
                <c:pt idx="8">
                  <c:v>214</c:v>
                </c:pt>
                <c:pt idx="9">
                  <c:v>0</c:v>
                </c:pt>
                <c:pt idx="10">
                  <c:v>80</c:v>
                </c:pt>
                <c:pt idx="11">
                  <c:v>39</c:v>
                </c:pt>
                <c:pt idx="12">
                  <c:v>77</c:v>
                </c:pt>
                <c:pt idx="13">
                  <c:v>72</c:v>
                </c:pt>
                <c:pt idx="14">
                  <c:v>37</c:v>
                </c:pt>
                <c:pt idx="15">
                  <c:v>22</c:v>
                </c:pt>
                <c:pt idx="16">
                  <c:v>0</c:v>
                </c:pt>
                <c:pt idx="17">
                  <c:v>60</c:v>
                </c:pt>
                <c:pt idx="18">
                  <c:v>58</c:v>
                </c:pt>
                <c:pt idx="19">
                  <c:v>121</c:v>
                </c:pt>
                <c:pt idx="20">
                  <c:v>10</c:v>
                </c:pt>
                <c:pt idx="21">
                  <c:v>48</c:v>
                </c:pt>
                <c:pt idx="22" formatCode="@">
                  <c:v>0</c:v>
                </c:pt>
                <c:pt idx="23" formatCode="#,##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40-4C2F-93FB-5ABF12EE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524132"/>
        <c:axId val="1072837487"/>
      </c:barChart>
      <c:catAx>
        <c:axId val="2035524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72837487"/>
        <c:crosses val="autoZero"/>
        <c:auto val="1"/>
        <c:lblAlgn val="ctr"/>
        <c:lblOffset val="100"/>
        <c:noMultiLvlLbl val="1"/>
      </c:catAx>
      <c:valAx>
        <c:axId val="1072837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355241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'NOVEMBRO 2025'!$H$27:$H$50</c:f>
              <c:numCache>
                <c:formatCode>h:mm:ss</c:formatCode>
                <c:ptCount val="24"/>
                <c:pt idx="0">
                  <c:v>8.9120370370370373E-4</c:v>
                </c:pt>
                <c:pt idx="1">
                  <c:v>9.0277777777777774E-4</c:v>
                </c:pt>
                <c:pt idx="2">
                  <c:v>5.9027777777777778E-4</c:v>
                </c:pt>
                <c:pt idx="3">
                  <c:v>7.0023148148148145E-3</c:v>
                </c:pt>
                <c:pt idx="4" formatCode="@">
                  <c:v>0</c:v>
                </c:pt>
                <c:pt idx="5">
                  <c:v>3.5879629629629629E-4</c:v>
                </c:pt>
                <c:pt idx="6">
                  <c:v>7.7546296296296293E-4</c:v>
                </c:pt>
                <c:pt idx="7">
                  <c:v>4.0509259259259258E-4</c:v>
                </c:pt>
                <c:pt idx="8">
                  <c:v>1.9675925925925926E-4</c:v>
                </c:pt>
                <c:pt idx="9">
                  <c:v>2.8935185185185184E-4</c:v>
                </c:pt>
                <c:pt idx="10">
                  <c:v>5.5555555555555556E-4</c:v>
                </c:pt>
                <c:pt idx="11">
                  <c:v>4.9768518518518521E-4</c:v>
                </c:pt>
                <c:pt idx="12">
                  <c:v>8.1018518518518516E-4</c:v>
                </c:pt>
                <c:pt idx="13">
                  <c:v>1.4351851851851852E-3</c:v>
                </c:pt>
                <c:pt idx="14">
                  <c:v>6.8865740740740745E-3</c:v>
                </c:pt>
                <c:pt idx="15">
                  <c:v>6.3657407407407413E-4</c:v>
                </c:pt>
                <c:pt idx="16">
                  <c:v>3.1250000000000001E-4</c:v>
                </c:pt>
                <c:pt idx="17">
                  <c:v>1.0648148148148149E-3</c:v>
                </c:pt>
                <c:pt idx="18" formatCode="@">
                  <c:v>0</c:v>
                </c:pt>
                <c:pt idx="19">
                  <c:v>9.9537037037037042E-4</c:v>
                </c:pt>
                <c:pt idx="20">
                  <c:v>1.1805555555555556E-3</c:v>
                </c:pt>
                <c:pt idx="21">
                  <c:v>8.6805555555555551E-4</c:v>
                </c:pt>
                <c:pt idx="22">
                  <c:v>4.3981481481481481E-4</c:v>
                </c:pt>
                <c:pt idx="2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C4-49D9-8094-FBC741143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3109948"/>
        <c:axId val="1366912846"/>
      </c:barChart>
      <c:catAx>
        <c:axId val="803109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66912846"/>
        <c:crosses val="autoZero"/>
        <c:auto val="1"/>
        <c:lblAlgn val="ctr"/>
        <c:lblOffset val="100"/>
        <c:noMultiLvlLbl val="1"/>
      </c:catAx>
      <c:valAx>
        <c:axId val="1366912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31099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'NOVEMBRO 2025'!$E$27:$E$50</c:f>
              <c:numCache>
                <c:formatCode>General</c:formatCode>
                <c:ptCount val="24"/>
                <c:pt idx="0">
                  <c:v>81</c:v>
                </c:pt>
                <c:pt idx="1">
                  <c:v>19</c:v>
                </c:pt>
                <c:pt idx="2">
                  <c:v>21</c:v>
                </c:pt>
                <c:pt idx="3">
                  <c:v>44</c:v>
                </c:pt>
                <c:pt idx="4">
                  <c:v>10</c:v>
                </c:pt>
                <c:pt idx="5">
                  <c:v>46</c:v>
                </c:pt>
                <c:pt idx="6">
                  <c:v>30</c:v>
                </c:pt>
                <c:pt idx="7">
                  <c:v>29</c:v>
                </c:pt>
                <c:pt idx="8">
                  <c:v>5</c:v>
                </c:pt>
                <c:pt idx="9">
                  <c:v>89</c:v>
                </c:pt>
                <c:pt idx="10">
                  <c:v>60</c:v>
                </c:pt>
                <c:pt idx="11">
                  <c:v>36</c:v>
                </c:pt>
                <c:pt idx="12">
                  <c:v>45</c:v>
                </c:pt>
                <c:pt idx="13">
                  <c:v>51</c:v>
                </c:pt>
                <c:pt idx="14">
                  <c:v>14</c:v>
                </c:pt>
                <c:pt idx="15">
                  <c:v>2</c:v>
                </c:pt>
                <c:pt idx="16">
                  <c:v>7</c:v>
                </c:pt>
                <c:pt idx="17">
                  <c:v>50</c:v>
                </c:pt>
                <c:pt idx="18">
                  <c:v>36</c:v>
                </c:pt>
                <c:pt idx="19">
                  <c:v>50</c:v>
                </c:pt>
                <c:pt idx="20">
                  <c:v>56</c:v>
                </c:pt>
                <c:pt idx="21">
                  <c:v>27</c:v>
                </c:pt>
                <c:pt idx="22">
                  <c:v>63</c:v>
                </c:pt>
                <c:pt idx="23" formatCode="#,##0">
                  <c:v>918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AC-4F99-815C-3DA087B3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546161"/>
        <c:axId val="1353551527"/>
      </c:barChart>
      <c:catAx>
        <c:axId val="632546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53551527"/>
        <c:crosses val="autoZero"/>
        <c:auto val="1"/>
        <c:lblAlgn val="ctr"/>
        <c:lblOffset val="100"/>
        <c:noMultiLvlLbl val="1"/>
      </c:catAx>
      <c:valAx>
        <c:axId val="1353551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325461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639-4BBB-AD7C-FA3AA1ED178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639-4BBB-AD7C-FA3AA1ED178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639-4BBB-AD7C-FA3AA1ED178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639-4BBB-AD7C-FA3AA1ED1789}"/>
              </c:ext>
            </c:extLst>
          </c:dPt>
          <c:val>
            <c:numRef>
              <c:f>('DEZEMBRO 2025'!$B$2:$D$2,'DEZEMBRO 2025'!$B$3:$D$3,'DEZEMBRO 2025'!$B$4:$D$4,'DEZEMBRO 2025'!$B$5:$D$5)</c:f>
              <c:numCache>
                <c:formatCode>h:mm:ss</c:formatCode>
                <c:ptCount val="12"/>
                <c:pt idx="0">
                  <c:v>3.7303240740740741E-2</c:v>
                </c:pt>
                <c:pt idx="1">
                  <c:v>4.5983796296296293E-2</c:v>
                </c:pt>
                <c:pt idx="2">
                  <c:v>4.2754629629629629E-2</c:v>
                </c:pt>
                <c:pt idx="3">
                  <c:v>1.5856481481481481E-3</c:v>
                </c:pt>
                <c:pt idx="4">
                  <c:v>5.0810185185185186E-3</c:v>
                </c:pt>
                <c:pt idx="5">
                  <c:v>7.4537037037037037E-3</c:v>
                </c:pt>
                <c:pt idx="6">
                  <c:v>1.2731481481481483E-3</c:v>
                </c:pt>
                <c:pt idx="7">
                  <c:v>2.1064814814814813E-3</c:v>
                </c:pt>
                <c:pt idx="8">
                  <c:v>2.3263888888888887E-3</c:v>
                </c:pt>
                <c:pt idx="9">
                  <c:v>3.2638888888888891E-3</c:v>
                </c:pt>
                <c:pt idx="10">
                  <c:v>2.2222222222222222E-3</c:v>
                </c:pt>
                <c:pt idx="11">
                  <c:v>2.9629629629629628E-3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39-4BBB-AD7C-FA3AA1ED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'DEZEMBRO 2025'!$B$31:$B$53</c:f>
              <c:numCache>
                <c:formatCode>General</c:formatCode>
                <c:ptCount val="23"/>
                <c:pt idx="0">
                  <c:v>161</c:v>
                </c:pt>
                <c:pt idx="1">
                  <c:v>39</c:v>
                </c:pt>
                <c:pt idx="2">
                  <c:v>28</c:v>
                </c:pt>
                <c:pt idx="3">
                  <c:v>32</c:v>
                </c:pt>
                <c:pt idx="4">
                  <c:v>75</c:v>
                </c:pt>
                <c:pt idx="5" formatCode="#,##0">
                  <c:v>95</c:v>
                </c:pt>
                <c:pt idx="6">
                  <c:v>26</c:v>
                </c:pt>
                <c:pt idx="7" formatCode="#,##0">
                  <c:v>42</c:v>
                </c:pt>
                <c:pt idx="8">
                  <c:v>72</c:v>
                </c:pt>
                <c:pt idx="9">
                  <c:v>59</c:v>
                </c:pt>
                <c:pt idx="10">
                  <c:v>10</c:v>
                </c:pt>
                <c:pt idx="11">
                  <c:v>30</c:v>
                </c:pt>
                <c:pt idx="12">
                  <c:v>12</c:v>
                </c:pt>
                <c:pt idx="13">
                  <c:v>74</c:v>
                </c:pt>
                <c:pt idx="14">
                  <c:v>65</c:v>
                </c:pt>
                <c:pt idx="15">
                  <c:v>47</c:v>
                </c:pt>
                <c:pt idx="16">
                  <c:v>47</c:v>
                </c:pt>
                <c:pt idx="17">
                  <c:v>54</c:v>
                </c:pt>
                <c:pt idx="18">
                  <c:v>4</c:v>
                </c:pt>
                <c:pt idx="19">
                  <c:v>29</c:v>
                </c:pt>
                <c:pt idx="20" formatCode="@">
                  <c:v>0</c:v>
                </c:pt>
                <c:pt idx="21" formatCode="#,##0">
                  <c:v>1001</c:v>
                </c:pt>
                <c:pt idx="22" formatCode="#,##0">
                  <c:v>1500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B4-4EF3-B9C2-9BA29DCC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2178557"/>
        <c:axId val="1885721316"/>
      </c:barChart>
      <c:catAx>
        <c:axId val="1152178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85721316"/>
        <c:crosses val="autoZero"/>
        <c:auto val="1"/>
        <c:lblAlgn val="ctr"/>
        <c:lblOffset val="100"/>
        <c:noMultiLvlLbl val="1"/>
      </c:catAx>
      <c:valAx>
        <c:axId val="1885721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21785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'DEZEMBRO 2025'!$K$31:$K$53</c:f>
              <c:numCache>
                <c:formatCode>h:mm:ss</c:formatCode>
                <c:ptCount val="23"/>
                <c:pt idx="0">
                  <c:v>2.3148148148148147E-3</c:v>
                </c:pt>
                <c:pt idx="1">
                  <c:v>1.0069444444444444E-3</c:v>
                </c:pt>
                <c:pt idx="2">
                  <c:v>4.1666666666666669E-4</c:v>
                </c:pt>
                <c:pt idx="3">
                  <c:v>2.3032407407407407E-3</c:v>
                </c:pt>
                <c:pt idx="4" formatCode="@">
                  <c:v>0</c:v>
                </c:pt>
                <c:pt idx="5">
                  <c:v>5.3240740740740744E-4</c:v>
                </c:pt>
                <c:pt idx="6">
                  <c:v>9.837962962962962E-4</c:v>
                </c:pt>
                <c:pt idx="7">
                  <c:v>7.7546296296296293E-4</c:v>
                </c:pt>
                <c:pt idx="8">
                  <c:v>1.0416666666666667E-4</c:v>
                </c:pt>
                <c:pt idx="9">
                  <c:v>1.0185185185185184E-3</c:v>
                </c:pt>
                <c:pt idx="10">
                  <c:v>1.2037037037037038E-3</c:v>
                </c:pt>
                <c:pt idx="11">
                  <c:v>7.5231481481481482E-4</c:v>
                </c:pt>
                <c:pt idx="12">
                  <c:v>2.7546296296296294E-3</c:v>
                </c:pt>
                <c:pt idx="13">
                  <c:v>8.3333333333333339E-4</c:v>
                </c:pt>
                <c:pt idx="14">
                  <c:v>1.712962962962963E-3</c:v>
                </c:pt>
                <c:pt idx="15">
                  <c:v>2.0138888888888888E-3</c:v>
                </c:pt>
                <c:pt idx="16" formatCode="@">
                  <c:v>0</c:v>
                </c:pt>
                <c:pt idx="17">
                  <c:v>7.5231481481481482E-4</c:v>
                </c:pt>
                <c:pt idx="18">
                  <c:v>2.3958333333333331E-3</c:v>
                </c:pt>
                <c:pt idx="19">
                  <c:v>1.8402777777777777E-3</c:v>
                </c:pt>
                <c:pt idx="20">
                  <c:v>5.5555555555555556E-4</c:v>
                </c:pt>
                <c:pt idx="21">
                  <c:v>1.2731481481481483E-3</c:v>
                </c:pt>
                <c:pt idx="22">
                  <c:v>9.2592592592592596E-4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F0-4982-97ED-F7024CA6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569061"/>
        <c:axId val="670461592"/>
      </c:barChart>
      <c:catAx>
        <c:axId val="63056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70461592"/>
        <c:crosses val="autoZero"/>
        <c:auto val="1"/>
        <c:lblAlgn val="ctr"/>
        <c:lblOffset val="100"/>
        <c:noMultiLvlLbl val="1"/>
      </c:catAx>
      <c:valAx>
        <c:axId val="670461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305690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'DEZEMBRO 2025'!$J$31:$J$53</c:f>
              <c:numCache>
                <c:formatCode>h:mm:ss</c:formatCode>
                <c:ptCount val="23"/>
                <c:pt idx="0">
                  <c:v>6.0046296296296299E-2</c:v>
                </c:pt>
                <c:pt idx="1">
                  <c:v>8.385416666666666E-2</c:v>
                </c:pt>
                <c:pt idx="2">
                  <c:v>2.0995370370370369E-2</c:v>
                </c:pt>
                <c:pt idx="3">
                  <c:v>3.2766203703703707E-2</c:v>
                </c:pt>
                <c:pt idx="4">
                  <c:v>7.4999999999999997E-2</c:v>
                </c:pt>
                <c:pt idx="5">
                  <c:v>3.1782407407407405E-2</c:v>
                </c:pt>
                <c:pt idx="6">
                  <c:v>4.4282407407407409E-2</c:v>
                </c:pt>
                <c:pt idx="7">
                  <c:v>2.5555555555555557E-2</c:v>
                </c:pt>
                <c:pt idx="8">
                  <c:v>1.7013888888888887E-2</c:v>
                </c:pt>
                <c:pt idx="9">
                  <c:v>2.0821759259259259E-2</c:v>
                </c:pt>
                <c:pt idx="10">
                  <c:v>1.7812499999999998E-2</c:v>
                </c:pt>
                <c:pt idx="11">
                  <c:v>2.3668981481481482E-2</c:v>
                </c:pt>
                <c:pt idx="12">
                  <c:v>6.5104166666666671E-2</c:v>
                </c:pt>
                <c:pt idx="13">
                  <c:v>1.1643518518518518E-2</c:v>
                </c:pt>
                <c:pt idx="14">
                  <c:v>3.1574074074074074E-2</c:v>
                </c:pt>
                <c:pt idx="15">
                  <c:v>5.5046296296296295E-2</c:v>
                </c:pt>
                <c:pt idx="16">
                  <c:v>2.8113425925925927E-2</c:v>
                </c:pt>
                <c:pt idx="17">
                  <c:v>1.7222222222222222E-2</c:v>
                </c:pt>
                <c:pt idx="18">
                  <c:v>6.5150462962962966E-2</c:v>
                </c:pt>
                <c:pt idx="19">
                  <c:v>2.9826388888888888E-2</c:v>
                </c:pt>
                <c:pt idx="20">
                  <c:v>2.6030092592592594E-2</c:v>
                </c:pt>
                <c:pt idx="21">
                  <c:v>3.7303240740740741E-2</c:v>
                </c:pt>
                <c:pt idx="22">
                  <c:v>3.471064814814815E-2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CF-4DFA-AB7D-921DD7E4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812673"/>
        <c:axId val="98336808"/>
      </c:barChart>
      <c:catAx>
        <c:axId val="798812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8336808"/>
        <c:crosses val="autoZero"/>
        <c:auto val="1"/>
        <c:lblAlgn val="ctr"/>
        <c:lblOffset val="100"/>
        <c:noMultiLvlLbl val="1"/>
      </c:catAx>
      <c:valAx>
        <c:axId val="98336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988126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D1B-4929-B71C-0DB6230B93C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D1B-4929-B71C-0DB6230B93C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D1B-4929-B71C-0DB6230B93C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D1B-4929-B71C-0DB6230B93C6}"/>
              </c:ext>
            </c:extLst>
          </c:dPt>
          <c:val>
            <c:numRef>
              <c:f>('JANEIRO 2026'!$B$2:$D$2,'JANEIRO 2026'!$B$3:$D$3,'JANEIRO 2026'!$B$4:$D$4,'JANEIRO 2026'!$B$5:$D$5)</c:f>
              <c:numCache>
                <c:formatCode>h:mm:ss</c:formatCode>
                <c:ptCount val="12"/>
                <c:pt idx="0">
                  <c:v>4.6018518518518521E-2</c:v>
                </c:pt>
                <c:pt idx="1">
                  <c:v>4.0520833333333332E-2</c:v>
                </c:pt>
                <c:pt idx="2">
                  <c:v>5.5381944444444442E-2</c:v>
                </c:pt>
                <c:pt idx="3">
                  <c:v>4.8032407407407407E-3</c:v>
                </c:pt>
                <c:pt idx="4">
                  <c:v>5.5092592592592589E-3</c:v>
                </c:pt>
                <c:pt idx="5">
                  <c:v>3.3414351851851855E-2</c:v>
                </c:pt>
                <c:pt idx="6">
                  <c:v>3.3217592592592591E-3</c:v>
                </c:pt>
                <c:pt idx="7">
                  <c:v>2.7083333333333334E-3</c:v>
                </c:pt>
                <c:pt idx="8">
                  <c:v>6.2384259259259259E-3</c:v>
                </c:pt>
                <c:pt idx="9">
                  <c:v>2.650462962962963E-3</c:v>
                </c:pt>
                <c:pt idx="10">
                  <c:v>2.8356481481481483E-3</c:v>
                </c:pt>
                <c:pt idx="11">
                  <c:v>3.414351851851852E-3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1B-4929-B71C-0DB6230B9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'JANEIRO 2026'!$B$30:$B$59</c:f>
              <c:numCache>
                <c:formatCode>General</c:formatCode>
                <c:ptCount val="30"/>
                <c:pt idx="0">
                  <c:v>253</c:v>
                </c:pt>
                <c:pt idx="1">
                  <c:v>61</c:v>
                </c:pt>
                <c:pt idx="2">
                  <c:v>55</c:v>
                </c:pt>
                <c:pt idx="3">
                  <c:v>138</c:v>
                </c:pt>
                <c:pt idx="4">
                  <c:v>97</c:v>
                </c:pt>
                <c:pt idx="5">
                  <c:v>196</c:v>
                </c:pt>
                <c:pt idx="6" formatCode="#,##0">
                  <c:v>194</c:v>
                </c:pt>
                <c:pt idx="7">
                  <c:v>29</c:v>
                </c:pt>
                <c:pt idx="8" formatCode="#,##0">
                  <c:v>65</c:v>
                </c:pt>
                <c:pt idx="9">
                  <c:v>9</c:v>
                </c:pt>
                <c:pt idx="10">
                  <c:v>179</c:v>
                </c:pt>
                <c:pt idx="11">
                  <c:v>141</c:v>
                </c:pt>
                <c:pt idx="12">
                  <c:v>73</c:v>
                </c:pt>
                <c:pt idx="13">
                  <c:v>131</c:v>
                </c:pt>
                <c:pt idx="14">
                  <c:v>24</c:v>
                </c:pt>
                <c:pt idx="15">
                  <c:v>0</c:v>
                </c:pt>
                <c:pt idx="16">
                  <c:v>65</c:v>
                </c:pt>
                <c:pt idx="17">
                  <c:v>70</c:v>
                </c:pt>
                <c:pt idx="18">
                  <c:v>66</c:v>
                </c:pt>
                <c:pt idx="19">
                  <c:v>0</c:v>
                </c:pt>
                <c:pt idx="20">
                  <c:v>150</c:v>
                </c:pt>
                <c:pt idx="21">
                  <c:v>0</c:v>
                </c:pt>
                <c:pt idx="22">
                  <c:v>124</c:v>
                </c:pt>
                <c:pt idx="23">
                  <c:v>86</c:v>
                </c:pt>
                <c:pt idx="24">
                  <c:v>0</c:v>
                </c:pt>
                <c:pt idx="25">
                  <c:v>192</c:v>
                </c:pt>
                <c:pt idx="26" formatCode="@">
                  <c:v>0</c:v>
                </c:pt>
                <c:pt idx="27" formatCode="@">
                  <c:v>0</c:v>
                </c:pt>
                <c:pt idx="28" formatCode="@">
                  <c:v>0</c:v>
                </c:pt>
                <c:pt idx="29" formatCode="#,##0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5F-4F1D-88A7-0E623CE8F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937173"/>
        <c:axId val="336520519"/>
      </c:barChart>
      <c:catAx>
        <c:axId val="1285937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36520519"/>
        <c:crosses val="autoZero"/>
        <c:auto val="1"/>
        <c:lblAlgn val="ctr"/>
        <c:lblOffset val="100"/>
        <c:noMultiLvlLbl val="1"/>
      </c:catAx>
      <c:valAx>
        <c:axId val="336520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85937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'JANEIRO 2026'!$K$30:$K$59</c:f>
              <c:numCache>
                <c:formatCode>h:mm:ss</c:formatCode>
                <c:ptCount val="30"/>
                <c:pt idx="0">
                  <c:v>1.1377314814814814E-2</c:v>
                </c:pt>
                <c:pt idx="1">
                  <c:v>1.4004629629629629E-3</c:v>
                </c:pt>
                <c:pt idx="2">
                  <c:v>2.1875000000000002E-3</c:v>
                </c:pt>
                <c:pt idx="3">
                  <c:v>3.1250000000000002E-3</c:v>
                </c:pt>
                <c:pt idx="4">
                  <c:v>4.6643518518518518E-3</c:v>
                </c:pt>
                <c:pt idx="5" formatCode="@">
                  <c:v>0</c:v>
                </c:pt>
                <c:pt idx="6">
                  <c:v>1.2962962962962963E-3</c:v>
                </c:pt>
                <c:pt idx="7">
                  <c:v>2.0023148148148148E-3</c:v>
                </c:pt>
                <c:pt idx="8">
                  <c:v>1.0763888888888889E-3</c:v>
                </c:pt>
                <c:pt idx="9">
                  <c:v>2.3148148148148149E-4</c:v>
                </c:pt>
                <c:pt idx="10">
                  <c:v>9.7222222222222219E-4</c:v>
                </c:pt>
                <c:pt idx="11">
                  <c:v>9.7222222222222219E-4</c:v>
                </c:pt>
                <c:pt idx="12">
                  <c:v>1.2731481481481483E-3</c:v>
                </c:pt>
                <c:pt idx="13">
                  <c:v>4.7685185185185183E-3</c:v>
                </c:pt>
                <c:pt idx="14">
                  <c:v>4.386574074074074E-3</c:v>
                </c:pt>
                <c:pt idx="15">
                  <c:v>3.2638888888888891E-3</c:v>
                </c:pt>
                <c:pt idx="16">
                  <c:v>1.261574074074074E-3</c:v>
                </c:pt>
                <c:pt idx="17">
                  <c:v>6.4467592592592588E-3</c:v>
                </c:pt>
                <c:pt idx="18">
                  <c:v>1.1111111111111111E-3</c:v>
                </c:pt>
                <c:pt idx="19">
                  <c:v>1.3506944444444445E-2</c:v>
                </c:pt>
                <c:pt idx="20">
                  <c:v>2.7314814814814814E-3</c:v>
                </c:pt>
                <c:pt idx="21" formatCode="@">
                  <c:v>0</c:v>
                </c:pt>
                <c:pt idx="22" formatCode="@">
                  <c:v>0</c:v>
                </c:pt>
                <c:pt idx="23">
                  <c:v>2.6967592592592594E-3</c:v>
                </c:pt>
                <c:pt idx="24">
                  <c:v>1.9212962962962964E-3</c:v>
                </c:pt>
                <c:pt idx="25">
                  <c:v>4.5717592592592589E-3</c:v>
                </c:pt>
                <c:pt idx="26">
                  <c:v>2.4652777777777776E-3</c:v>
                </c:pt>
                <c:pt idx="27">
                  <c:v>3.3217592592592591E-3</c:v>
                </c:pt>
                <c:pt idx="28">
                  <c:v>2.0717592592592593E-3</c:v>
                </c:pt>
                <c:pt idx="29">
                  <c:v>1.6203703703703703E-3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EF-4FDB-8B33-B4F4953C7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423490"/>
        <c:axId val="623963261"/>
      </c:barChart>
      <c:catAx>
        <c:axId val="1040423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23963261"/>
        <c:crosses val="autoZero"/>
        <c:auto val="1"/>
        <c:lblAlgn val="ctr"/>
        <c:lblOffset val="100"/>
        <c:noMultiLvlLbl val="1"/>
      </c:catAx>
      <c:valAx>
        <c:axId val="623963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404234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'JANEIRO 2026'!$J$30:$J$59</c:f>
              <c:numCache>
                <c:formatCode>h:mm:ss</c:formatCode>
                <c:ptCount val="30"/>
                <c:pt idx="0">
                  <c:v>5.3101851851851851E-2</c:v>
                </c:pt>
                <c:pt idx="1">
                  <c:v>5.5370370370370368E-2</c:v>
                </c:pt>
                <c:pt idx="2">
                  <c:v>7.3043981481481488E-2</c:v>
                </c:pt>
                <c:pt idx="3">
                  <c:v>9.1215277777777784E-2</c:v>
                </c:pt>
                <c:pt idx="4">
                  <c:v>6.699074074074074E-2</c:v>
                </c:pt>
                <c:pt idx="5">
                  <c:v>5.2673611111111109E-2</c:v>
                </c:pt>
                <c:pt idx="6">
                  <c:v>3.5949074074074071E-2</c:v>
                </c:pt>
                <c:pt idx="7">
                  <c:v>4.283564814814815E-2</c:v>
                </c:pt>
                <c:pt idx="8">
                  <c:v>4.6168981481481484E-2</c:v>
                </c:pt>
                <c:pt idx="9">
                  <c:v>2.238425925925926E-2</c:v>
                </c:pt>
                <c:pt idx="10">
                  <c:v>2.2893518518518518E-2</c:v>
                </c:pt>
                <c:pt idx="11">
                  <c:v>2.7025462962962963E-2</c:v>
                </c:pt>
                <c:pt idx="12">
                  <c:v>1.9201388888888889E-2</c:v>
                </c:pt>
                <c:pt idx="13">
                  <c:v>5.2731481481481483E-2</c:v>
                </c:pt>
                <c:pt idx="14">
                  <c:v>4.3564814814814813E-2</c:v>
                </c:pt>
                <c:pt idx="15">
                  <c:v>3.8969907407407404E-2</c:v>
                </c:pt>
                <c:pt idx="16">
                  <c:v>2.0462962962962964E-2</c:v>
                </c:pt>
                <c:pt idx="17">
                  <c:v>3.8854166666666669E-2</c:v>
                </c:pt>
                <c:pt idx="18">
                  <c:v>2.5462962962962962E-2</c:v>
                </c:pt>
                <c:pt idx="19">
                  <c:v>5.9016203703703703E-2</c:v>
                </c:pt>
                <c:pt idx="20">
                  <c:v>2.5960648148148149E-2</c:v>
                </c:pt>
                <c:pt idx="21">
                  <c:v>6.1550925925925926E-2</c:v>
                </c:pt>
                <c:pt idx="22">
                  <c:v>4.9687500000000002E-2</c:v>
                </c:pt>
                <c:pt idx="23">
                  <c:v>2.7291666666666665E-2</c:v>
                </c:pt>
                <c:pt idx="24">
                  <c:v>6.4039351851851847E-2</c:v>
                </c:pt>
                <c:pt idx="25">
                  <c:v>7.0983796296296295E-2</c:v>
                </c:pt>
                <c:pt idx="26">
                  <c:v>5.4976851851851853E-2</c:v>
                </c:pt>
                <c:pt idx="27">
                  <c:v>4.6018518518518521E-2</c:v>
                </c:pt>
                <c:pt idx="28">
                  <c:v>4.1666666666666664E-2</c:v>
                </c:pt>
                <c:pt idx="29">
                  <c:v>3.471064814814815E-2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F5-44B5-8A76-7FDB23301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283977"/>
        <c:axId val="687601527"/>
      </c:barChart>
      <c:catAx>
        <c:axId val="838283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87601527"/>
        <c:crosses val="autoZero"/>
        <c:auto val="1"/>
        <c:lblAlgn val="ctr"/>
        <c:lblOffset val="100"/>
        <c:noMultiLvlLbl val="1"/>
      </c:catAx>
      <c:valAx>
        <c:axId val="687601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82839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37C-4348-B6F2-543DB25B837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37C-4348-B6F2-543DB25B837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37C-4348-B6F2-543DB25B837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37C-4348-B6F2-543DB25B8371}"/>
              </c:ext>
            </c:extLst>
          </c:dPt>
          <c:val>
            <c:numRef>
              <c:f>('FEVEREIRO 2026'!$B$2:$D$2,'FEVEREIRO 2026'!$B$3:$D$3,'FEVEREIRO 2026'!$B$4:$D$4,'FEVEREIRO 2026'!$B$5:$D$5)</c:f>
              <c:numCache>
                <c:formatCode>h:mm:ss</c:formatCode>
                <c:ptCount val="12"/>
                <c:pt idx="0">
                  <c:v>4.6493055555555558E-2</c:v>
                </c:pt>
                <c:pt idx="1">
                  <c:v>3.7303240740740741E-2</c:v>
                </c:pt>
                <c:pt idx="2">
                  <c:v>5.6238425925925928E-2</c:v>
                </c:pt>
                <c:pt idx="3">
                  <c:v>6.322916666666667E-2</c:v>
                </c:pt>
                <c:pt idx="4">
                  <c:v>4.6504629629629632E-2</c:v>
                </c:pt>
                <c:pt idx="5">
                  <c:v>1.9664351851851853E-2</c:v>
                </c:pt>
                <c:pt idx="6">
                  <c:v>1.6550925925925926E-3</c:v>
                </c:pt>
                <c:pt idx="7">
                  <c:v>1.5972222222222223E-3</c:v>
                </c:pt>
                <c:pt idx="8">
                  <c:v>4.6180555555555558E-3</c:v>
                </c:pt>
                <c:pt idx="9">
                  <c:v>3.3333333333333335E-3</c:v>
                </c:pt>
                <c:pt idx="10">
                  <c:v>2.8356481481481483E-3</c:v>
                </c:pt>
                <c:pt idx="11">
                  <c:v>3.3449074074074076E-3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7C-4348-B6F2-543DB25B8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37C3-4414-95F4-3819376FB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690003"/>
        <c:axId val="1752065945"/>
      </c:barChart>
      <c:catAx>
        <c:axId val="956690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52065945"/>
        <c:crosses val="autoZero"/>
        <c:auto val="1"/>
        <c:lblAlgn val="ctr"/>
        <c:lblOffset val="100"/>
        <c:noMultiLvlLbl val="1"/>
      </c:catAx>
      <c:valAx>
        <c:axId val="175206594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566900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F987-4935-BCBB-3FE76A466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569235"/>
        <c:axId val="1955873224"/>
      </c:barChart>
      <c:catAx>
        <c:axId val="623569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55873224"/>
        <c:crosses val="autoZero"/>
        <c:auto val="1"/>
        <c:lblAlgn val="ctr"/>
        <c:lblOffset val="100"/>
        <c:noMultiLvlLbl val="1"/>
      </c:catAx>
      <c:valAx>
        <c:axId val="19558732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235692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96A8-44A7-BAD8-32B98310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997688"/>
        <c:axId val="201600234"/>
      </c:barChart>
      <c:catAx>
        <c:axId val="1263997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600234"/>
        <c:crosses val="autoZero"/>
        <c:auto val="1"/>
        <c:lblAlgn val="ctr"/>
        <c:lblOffset val="100"/>
        <c:noMultiLvlLbl val="1"/>
      </c:catAx>
      <c:valAx>
        <c:axId val="20160023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263997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2AB-4FE3-8CCC-882F785ED6C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2AB-4FE3-8CCC-882F785ED6C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2AB-4FE3-8CCC-882F785ED6C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2AB-4FE3-8CCC-882F785ED6CD}"/>
              </c:ext>
            </c:extLst>
          </c:dPt>
          <c:val>
            <c:numRef>
              <c:f>('MARÇO 2026'!$C$2:$E$2,'MARÇO 2026'!$C$3:$E$3,'MARÇO 2026'!$C$3:$E$3,'MARÇO 2026'!$C$4:$E$4)</c:f>
              <c:numCache>
                <c:formatCode>h:mm:ss</c:formatCode>
                <c:ptCount val="12"/>
                <c:pt idx="0">
                  <c:v>3.5543981481481482E-2</c:v>
                </c:pt>
                <c:pt idx="1">
                  <c:v>3.2800925925925928E-2</c:v>
                </c:pt>
                <c:pt idx="2">
                  <c:v>3.0983796296296297E-2</c:v>
                </c:pt>
                <c:pt idx="3">
                  <c:v>2.476851851851852E-3</c:v>
                </c:pt>
                <c:pt idx="4">
                  <c:v>1.8055555555555555E-3</c:v>
                </c:pt>
                <c:pt idx="5">
                  <c:v>1.4583333333333334E-3</c:v>
                </c:pt>
                <c:pt idx="6">
                  <c:v>2.476851851851852E-3</c:v>
                </c:pt>
                <c:pt idx="7">
                  <c:v>1.8055555555555555E-3</c:v>
                </c:pt>
                <c:pt idx="8">
                  <c:v>1.4583333333333334E-3</c:v>
                </c:pt>
                <c:pt idx="9">
                  <c:v>3.2175925925925926E-3</c:v>
                </c:pt>
                <c:pt idx="10">
                  <c:v>2.9745370370370373E-3</c:v>
                </c:pt>
                <c:pt idx="11">
                  <c:v>2.7893518518518519E-3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AB-4FE3-8CCC-882F785E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FE38-44F2-A773-0F6E98E15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2785733"/>
        <c:axId val="127414474"/>
      </c:barChart>
      <c:catAx>
        <c:axId val="1082785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7414474"/>
        <c:crosses val="autoZero"/>
        <c:auto val="1"/>
        <c:lblAlgn val="ctr"/>
        <c:lblOffset val="100"/>
        <c:noMultiLvlLbl val="1"/>
      </c:catAx>
      <c:valAx>
        <c:axId val="12741447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827857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474D-4963-9D17-3EE0A5FAC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029182"/>
        <c:axId val="1286207815"/>
      </c:barChart>
      <c:catAx>
        <c:axId val="362029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86207815"/>
        <c:crosses val="autoZero"/>
        <c:auto val="1"/>
        <c:lblAlgn val="ctr"/>
        <c:lblOffset val="100"/>
        <c:noMultiLvlLbl val="1"/>
      </c:catAx>
      <c:valAx>
        <c:axId val="128620781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620291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BDD-4373-AFFF-26B9D94894D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BDD-4373-AFFF-26B9D94894D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BDD-4373-AFFF-26B9D94894D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BDD-4373-AFFF-26B9D94894DC}"/>
              </c:ext>
            </c:extLst>
          </c:dPt>
          <c:val>
            <c:numRef>
              <c:f>('ABRIL 2026'!$C$2:$E$2,'ABRIL 2026'!$C$3:$E$3,'ABRIL 2026'!$C$3:$E$3,'ABRIL 2026'!$C$4:$E$4)</c:f>
              <c:numCache>
                <c:formatCode>h:mm:ss</c:formatCode>
                <c:ptCount val="12"/>
                <c:pt idx="0">
                  <c:v>3.5011574074074077E-2</c:v>
                </c:pt>
                <c:pt idx="1">
                  <c:v>3.5729166666666666E-2</c:v>
                </c:pt>
                <c:pt idx="2">
                  <c:v>3.1458333333333331E-2</c:v>
                </c:pt>
                <c:pt idx="3">
                  <c:v>2.0601851851851853E-3</c:v>
                </c:pt>
                <c:pt idx="4">
                  <c:v>2.5231481481481481E-3</c:v>
                </c:pt>
                <c:pt idx="5">
                  <c:v>1.6087962962962963E-3</c:v>
                </c:pt>
                <c:pt idx="6">
                  <c:v>2.0601851851851853E-3</c:v>
                </c:pt>
                <c:pt idx="7">
                  <c:v>2.5231481481481481E-3</c:v>
                </c:pt>
                <c:pt idx="8">
                  <c:v>1.6087962962962963E-3</c:v>
                </c:pt>
                <c:pt idx="9">
                  <c:v>3.3796296296296296E-3</c:v>
                </c:pt>
                <c:pt idx="10">
                  <c:v>3.6111111111111109E-3</c:v>
                </c:pt>
                <c:pt idx="11">
                  <c:v>3.1712962962962962E-3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DD-4373-AFFF-26B9D948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8471-4A84-8032-6F7A84E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4985715"/>
        <c:axId val="1251366887"/>
      </c:barChart>
      <c:catAx>
        <c:axId val="1854985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51366887"/>
        <c:crosses val="autoZero"/>
        <c:auto val="1"/>
        <c:lblAlgn val="ctr"/>
        <c:lblOffset val="100"/>
        <c:noMultiLvlLbl val="1"/>
      </c:catAx>
      <c:valAx>
        <c:axId val="125136688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549857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#REF!</c:f>
            </c:numRef>
          </c:val>
          <c:extLst>
            <c:ext xmlns:c16="http://schemas.microsoft.com/office/drawing/2014/chart" uri="{C3380CC4-5D6E-409C-BE32-E72D297353CC}">
              <c16:uniqueId val="{00000000-D346-41F4-8A7D-0F4DDC84B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335950"/>
        <c:axId val="1116996984"/>
      </c:barChart>
      <c:catAx>
        <c:axId val="1497335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16996984"/>
        <c:crosses val="autoZero"/>
        <c:auto val="1"/>
        <c:lblAlgn val="ctr"/>
        <c:lblOffset val="100"/>
        <c:noMultiLvlLbl val="1"/>
      </c:catAx>
      <c:valAx>
        <c:axId val="111699698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973359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828675</xdr:colOff>
      <xdr:row>0</xdr:row>
      <xdr:rowOff>9525</xdr:rowOff>
    </xdr:from>
    <xdr:ext cx="5000625" cy="3533775"/>
    <xdr:pic>
      <xdr:nvPicPr>
        <xdr:cNvPr id="1284852632" name="Chart1" title="Gráfico">
          <a:extLst>
            <a:ext uri="{FF2B5EF4-FFF2-40B4-BE49-F238E27FC236}">
              <a16:creationId xmlns:a16="http://schemas.microsoft.com/office/drawing/2014/main" id="{00000000-0008-0000-0700-0000984B954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0</xdr:row>
      <xdr:rowOff>9525</xdr:rowOff>
    </xdr:from>
    <xdr:ext cx="4591050" cy="3533775"/>
    <xdr:pic>
      <xdr:nvPicPr>
        <xdr:cNvPr id="942136441" name="Chart2" title="Gráfico">
          <a:extLst>
            <a:ext uri="{FF2B5EF4-FFF2-40B4-BE49-F238E27FC236}">
              <a16:creationId xmlns:a16="http://schemas.microsoft.com/office/drawing/2014/main" id="{00000000-0008-0000-0700-000079DC273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0</xdr:row>
      <xdr:rowOff>9525</xdr:rowOff>
    </xdr:from>
    <xdr:ext cx="4943475" cy="3533775"/>
    <xdr:pic>
      <xdr:nvPicPr>
        <xdr:cNvPr id="2086421591" name="Chart3" title="Gráfico">
          <a:extLst>
            <a:ext uri="{FF2B5EF4-FFF2-40B4-BE49-F238E27FC236}">
              <a16:creationId xmlns:a16="http://schemas.microsoft.com/office/drawing/2014/main" id="{00000000-0008-0000-0700-000057445C7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876300</xdr:colOff>
      <xdr:row>17</xdr:row>
      <xdr:rowOff>180975</xdr:rowOff>
    </xdr:from>
    <xdr:ext cx="5715000" cy="353377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733425</xdr:colOff>
      <xdr:row>1</xdr:row>
      <xdr:rowOff>133350</xdr:rowOff>
    </xdr:from>
    <xdr:ext cx="4591050" cy="35337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495300</xdr:colOff>
      <xdr:row>1</xdr:row>
      <xdr:rowOff>133350</xdr:rowOff>
    </xdr:from>
    <xdr:ext cx="5715000" cy="35337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495300</xdr:colOff>
      <xdr:row>17</xdr:row>
      <xdr:rowOff>19050</xdr:rowOff>
    </xdr:from>
    <xdr:ext cx="5715000" cy="3533775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20</xdr:col>
      <xdr:colOff>495300</xdr:colOff>
      <xdr:row>32</xdr:row>
      <xdr:rowOff>200025</xdr:rowOff>
    </xdr:from>
    <xdr:ext cx="5715000" cy="3533775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733425</xdr:colOff>
      <xdr:row>1</xdr:row>
      <xdr:rowOff>133350</xdr:rowOff>
    </xdr:from>
    <xdr:ext cx="4591050" cy="3533775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495300</xdr:colOff>
      <xdr:row>1</xdr:row>
      <xdr:rowOff>133350</xdr:rowOff>
    </xdr:from>
    <xdr:ext cx="5715000" cy="3533775"/>
    <xdr:graphicFrame macro="">
      <xdr:nvGraphicFramePr>
        <xdr:cNvPr id="10" name="Chart 10" title="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495300</xdr:colOff>
      <xdr:row>18</xdr:row>
      <xdr:rowOff>19050</xdr:rowOff>
    </xdr:from>
    <xdr:ext cx="5715000" cy="3533775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20</xdr:col>
      <xdr:colOff>495300</xdr:colOff>
      <xdr:row>34</xdr:row>
      <xdr:rowOff>200025</xdr:rowOff>
    </xdr:from>
    <xdr:ext cx="5715000" cy="3533775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733425</xdr:colOff>
      <xdr:row>1</xdr:row>
      <xdr:rowOff>133350</xdr:rowOff>
    </xdr:from>
    <xdr:ext cx="4591050" cy="3533775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495300</xdr:colOff>
      <xdr:row>1</xdr:row>
      <xdr:rowOff>133350</xdr:rowOff>
    </xdr:from>
    <xdr:ext cx="5715000" cy="3533775"/>
    <xdr:graphicFrame macro="">
      <xdr:nvGraphicFramePr>
        <xdr:cNvPr id="14" name="Chart 14" title="Gráfico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495300</xdr:colOff>
      <xdr:row>18</xdr:row>
      <xdr:rowOff>19050</xdr:rowOff>
    </xdr:from>
    <xdr:ext cx="5715000" cy="3533775"/>
    <xdr:graphicFrame macro="">
      <xdr:nvGraphicFramePr>
        <xdr:cNvPr id="15" name="Chart 15" title="Gráfico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495300</xdr:colOff>
      <xdr:row>35</xdr:row>
      <xdr:rowOff>200025</xdr:rowOff>
    </xdr:from>
    <xdr:ext cx="5715000" cy="3533775"/>
    <xdr:graphicFrame macro="">
      <xdr:nvGraphicFramePr>
        <xdr:cNvPr id="16" name="Chart 16" title="Gráfico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733425</xdr:colOff>
      <xdr:row>1</xdr:row>
      <xdr:rowOff>133350</xdr:rowOff>
    </xdr:from>
    <xdr:ext cx="4591050" cy="3533775"/>
    <xdr:graphicFrame macro="">
      <xdr:nvGraphicFramePr>
        <xdr:cNvPr id="17" name="Chart 17" title="Gráfico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495300</xdr:colOff>
      <xdr:row>1</xdr:row>
      <xdr:rowOff>133350</xdr:rowOff>
    </xdr:from>
    <xdr:ext cx="5715000" cy="3533775"/>
    <xdr:graphicFrame macro="">
      <xdr:nvGraphicFramePr>
        <xdr:cNvPr id="18" name="Chart 18" title="Gráfico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495300</xdr:colOff>
      <xdr:row>18</xdr:row>
      <xdr:rowOff>19050</xdr:rowOff>
    </xdr:from>
    <xdr:ext cx="5715000" cy="3533775"/>
    <xdr:graphicFrame macro="">
      <xdr:nvGraphicFramePr>
        <xdr:cNvPr id="19" name="Chart 19" title="Gráfico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495300</xdr:colOff>
      <xdr:row>35</xdr:row>
      <xdr:rowOff>200025</xdr:rowOff>
    </xdr:from>
    <xdr:ext cx="5715000" cy="3533775"/>
    <xdr:graphicFrame macro="">
      <xdr:nvGraphicFramePr>
        <xdr:cNvPr id="20" name="Chart 20" title="Gráfico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733425</xdr:colOff>
      <xdr:row>1</xdr:row>
      <xdr:rowOff>133350</xdr:rowOff>
    </xdr:from>
    <xdr:ext cx="4591050" cy="3533775"/>
    <xdr:graphicFrame macro="">
      <xdr:nvGraphicFramePr>
        <xdr:cNvPr id="21" name="Chart 21" title="Gráfico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495300</xdr:colOff>
      <xdr:row>1</xdr:row>
      <xdr:rowOff>133350</xdr:rowOff>
    </xdr:from>
    <xdr:ext cx="5715000" cy="3533775"/>
    <xdr:graphicFrame macro="">
      <xdr:nvGraphicFramePr>
        <xdr:cNvPr id="22" name="Chart 22" title="Gráfico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495300</xdr:colOff>
      <xdr:row>16</xdr:row>
      <xdr:rowOff>19050</xdr:rowOff>
    </xdr:from>
    <xdr:ext cx="5715000" cy="3533775"/>
    <xdr:graphicFrame macro="">
      <xdr:nvGraphicFramePr>
        <xdr:cNvPr id="23" name="Chart 23" title="Gráfico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495300</xdr:colOff>
      <xdr:row>34</xdr:row>
      <xdr:rowOff>200025</xdr:rowOff>
    </xdr:from>
    <xdr:ext cx="5715000" cy="3533775"/>
    <xdr:graphicFrame macro="">
      <xdr:nvGraphicFramePr>
        <xdr:cNvPr id="24" name="Chart 24" title="Gráfico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733425</xdr:colOff>
      <xdr:row>1</xdr:row>
      <xdr:rowOff>133350</xdr:rowOff>
    </xdr:from>
    <xdr:ext cx="4591050" cy="3533775"/>
    <xdr:graphicFrame macro="">
      <xdr:nvGraphicFramePr>
        <xdr:cNvPr id="25" name="Chart 25" title="Gráfico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495300</xdr:colOff>
      <xdr:row>1</xdr:row>
      <xdr:rowOff>133350</xdr:rowOff>
    </xdr:from>
    <xdr:ext cx="5715000" cy="3533775"/>
    <xdr:graphicFrame macro="">
      <xdr:nvGraphicFramePr>
        <xdr:cNvPr id="26" name="Chart 26" title="Gráfico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495300</xdr:colOff>
      <xdr:row>16</xdr:row>
      <xdr:rowOff>19050</xdr:rowOff>
    </xdr:from>
    <xdr:ext cx="5715000" cy="3533775"/>
    <xdr:graphicFrame macro="">
      <xdr:nvGraphicFramePr>
        <xdr:cNvPr id="27" name="Chart 27" title="Gráfico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495300</xdr:colOff>
      <xdr:row>34</xdr:row>
      <xdr:rowOff>200025</xdr:rowOff>
    </xdr:from>
    <xdr:ext cx="5715000" cy="3533775"/>
    <xdr:graphicFrame macro="">
      <xdr:nvGraphicFramePr>
        <xdr:cNvPr id="28" name="Chart 28" title="Gráfico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733425</xdr:colOff>
      <xdr:row>1</xdr:row>
      <xdr:rowOff>133350</xdr:rowOff>
    </xdr:from>
    <xdr:ext cx="4591050" cy="3533775"/>
    <xdr:graphicFrame macro="">
      <xdr:nvGraphicFramePr>
        <xdr:cNvPr id="29" name="Chart 29" title="Gráfico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495300</xdr:colOff>
      <xdr:row>1</xdr:row>
      <xdr:rowOff>133350</xdr:rowOff>
    </xdr:from>
    <xdr:ext cx="5715000" cy="3533775"/>
    <xdr:graphicFrame macro="">
      <xdr:nvGraphicFramePr>
        <xdr:cNvPr id="30" name="Chart 30" title="Gráfico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495300</xdr:colOff>
      <xdr:row>16</xdr:row>
      <xdr:rowOff>19050</xdr:rowOff>
    </xdr:from>
    <xdr:ext cx="5715000" cy="3533775"/>
    <xdr:graphicFrame macro="">
      <xdr:nvGraphicFramePr>
        <xdr:cNvPr id="31" name="Chart 31" title="Gráfico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22</xdr:col>
      <xdr:colOff>495300</xdr:colOff>
      <xdr:row>18</xdr:row>
      <xdr:rowOff>200025</xdr:rowOff>
    </xdr:from>
    <xdr:ext cx="5715000" cy="3533775"/>
    <xdr:graphicFrame macro="">
      <xdr:nvGraphicFramePr>
        <xdr:cNvPr id="32" name="Chart 32" title="Gráfico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571500</xdr:colOff>
      <xdr:row>0</xdr:row>
      <xdr:rowOff>0</xdr:rowOff>
    </xdr:from>
    <xdr:ext cx="4591050" cy="3533775"/>
    <xdr:graphicFrame macro="">
      <xdr:nvGraphicFramePr>
        <xdr:cNvPr id="33" name="Chart 33" title="Gráfico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495300</xdr:colOff>
      <xdr:row>1</xdr:row>
      <xdr:rowOff>133350</xdr:rowOff>
    </xdr:from>
    <xdr:ext cx="5715000" cy="3533775"/>
    <xdr:graphicFrame macro="">
      <xdr:nvGraphicFramePr>
        <xdr:cNvPr id="34" name="Chart 34" title="Gráfico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495300</xdr:colOff>
      <xdr:row>15</xdr:row>
      <xdr:rowOff>19050</xdr:rowOff>
    </xdr:from>
    <xdr:ext cx="5715000" cy="3533775"/>
    <xdr:pic>
      <xdr:nvPicPr>
        <xdr:cNvPr id="938113070" name="Chart35" title="Gráfico">
          <a:extLst>
            <a:ext uri="{FF2B5EF4-FFF2-40B4-BE49-F238E27FC236}">
              <a16:creationId xmlns:a16="http://schemas.microsoft.com/office/drawing/2014/main" id="{00000000-0008-0000-0F00-00002E78EA3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495300</xdr:colOff>
      <xdr:row>17</xdr:row>
      <xdr:rowOff>200025</xdr:rowOff>
    </xdr:from>
    <xdr:ext cx="5715000" cy="3533775"/>
    <xdr:graphicFrame macro="">
      <xdr:nvGraphicFramePr>
        <xdr:cNvPr id="36" name="Chart 36" title="Gráfico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571500</xdr:colOff>
      <xdr:row>0</xdr:row>
      <xdr:rowOff>0</xdr:rowOff>
    </xdr:from>
    <xdr:ext cx="4591050" cy="3533775"/>
    <xdr:graphicFrame macro="">
      <xdr:nvGraphicFramePr>
        <xdr:cNvPr id="37" name="Chart 37" title="Gráfico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495300</xdr:colOff>
      <xdr:row>1</xdr:row>
      <xdr:rowOff>133350</xdr:rowOff>
    </xdr:from>
    <xdr:ext cx="5715000" cy="3533775"/>
    <xdr:graphicFrame macro="">
      <xdr:nvGraphicFramePr>
        <xdr:cNvPr id="38" name="Chart 38" title="Gráfico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21</xdr:col>
      <xdr:colOff>495300</xdr:colOff>
      <xdr:row>15</xdr:row>
      <xdr:rowOff>19050</xdr:rowOff>
    </xdr:from>
    <xdr:ext cx="5715000" cy="3533775"/>
    <xdr:pic>
      <xdr:nvPicPr>
        <xdr:cNvPr id="914747251" name="Chart39" title="Gráfico">
          <a:extLst>
            <a:ext uri="{FF2B5EF4-FFF2-40B4-BE49-F238E27FC236}">
              <a16:creationId xmlns:a16="http://schemas.microsoft.com/office/drawing/2014/main" id="{00000000-0008-0000-1000-000073EF853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495300</xdr:colOff>
      <xdr:row>17</xdr:row>
      <xdr:rowOff>200025</xdr:rowOff>
    </xdr:from>
    <xdr:ext cx="5715000" cy="3533775"/>
    <xdr:graphicFrame macro="">
      <xdr:nvGraphicFramePr>
        <xdr:cNvPr id="40" name="Chart 40" title="Gráfico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N19:N24" headerRowCount="0">
  <tableColumns count="1">
    <tableColumn id="1" xr3:uid="{00000000-0010-0000-0000-000001000000}" name="Column1"/>
  </tableColumns>
  <tableStyleInfo name="AGOS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0:M25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SETEMB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N20:N25" headerRowCount="0">
  <tableColumns count="1">
    <tableColumn id="1" xr3:uid="{00000000-0010-0000-0200-000001000000}" name="Column1"/>
  </tableColumns>
  <tableStyleInfo name="SETEMBRO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0:O26" headerRowCount="0">
  <tableColumns count="1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</tableColumns>
  <tableStyleInfo name="OUTUBR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20:O25" headerRowCount="0">
  <tableColumns count="1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</tableColumns>
  <tableStyleInfo name="NOVEMBR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7:Q55" headerRowCount="0">
  <tableColumns count="1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</tableColumns>
  <tableStyleInfo name="NOVEMBRO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04:E104" headerRowCount="0">
  <tableColumns count="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</tableColumns>
  <tableStyleInfo name="NOVEMBRO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8:Q25" headerRowCount="0">
  <tableColumns count="1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</tableColumns>
  <tableStyleInfo name="DEZEMBRO.25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56:G63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DEZEMBRO.25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65:K65" headerRowCount="0">
  <tableColumns count="11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</tableColumns>
  <tableStyleInfo name="DEZEMBRO.25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F69:H87" headerRowCount="0">
  <tableColumns count="3">
    <tableColumn id="1" xr3:uid="{00000000-0010-0000-0A00-000001000000}" name="Column1"/>
    <tableColumn id="2" xr3:uid="{00000000-0010-0000-0A00-000002000000}" name="Column2"/>
    <tableColumn id="3" xr3:uid="{00000000-0010-0000-0A00-000003000000}" name="Column3"/>
  </tableColumns>
  <tableStyleInfo name="DEZEMBRO.25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92:G95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DEZEMBRO.25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31:G133" headerRowCount="0">
  <tableColumns count="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</tableColumns>
  <tableStyleInfo name="DEZEMBRO.25-style 6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68:G170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DEZEMBRO.25-style 7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18:Q25" headerRowCount="0">
  <tableColumns count="1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</tableColumns>
  <tableStyleInfo name="JANEIRO.26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63:K67" headerRowCount="0">
  <tableColumns count="10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</tableColumns>
  <tableStyleInfo name="JANEIRO.26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105:K109" headerRowCount="0">
  <tableColumns count="10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</tableColumns>
  <tableStyleInfo name="JANEIRO.26-style 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147:K151" headerRowCount="0">
  <tableColumns count="10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</tableColumns>
  <tableStyleInfo name="JANEIRO.26-style 4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18:Q18" headerRowCount="0">
  <tableColumns count="16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</tableColumns>
  <tableStyleInfo name="FEVEREIRO.26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20:K23" headerRowCount="0">
  <tableColumns count="10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</tableColumns>
  <tableStyleInfo name="FEVEREIRO.26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57:K60" headerRowCount="0">
  <tableColumns count="10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</tableColumns>
  <tableStyleInfo name="FEVEREIRO.26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93:J96" headerRowCount="0">
  <tableColumns count="9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</tableColumns>
  <tableStyleInfo name="FEVEREIRO.26-style 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129:J132" headerRowCount="0">
  <tableColumns count="9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</tableColumns>
  <tableStyleInfo name="FEVEREIRO.26-style 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E164:J165" headerRowCount="0">
  <tableColumns count="6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</tableColumns>
  <tableStyleInfo name="FEVEREIRO.26-style 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17:O17" headerRowCount="0">
  <tableColumns count="1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</tableColumns>
  <tableStyleInfo name="MARÇO 26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9:I22" headerRowCount="0">
  <tableColumns count="8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</tableColumns>
  <tableStyleInfo name="MARÇO 26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51:I55" headerRowCount="0">
  <tableColumns count="8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</tableColumns>
  <tableStyleInfo name="MARÇO 26-style 3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63:I66" headerRowCount="0">
  <tableColumns count="8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</tableColumns>
  <tableStyleInfo name="MARÇO 26-style 4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94:I98" headerRowCount="0">
  <tableColumns count="8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</tableColumns>
  <tableStyleInfo name="MARÇO 26-style 5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103:I106" headerRowCount="0">
  <tableColumns count="8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</tableColumns>
  <tableStyleInfo name="MARÇO 26-style 6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138:I142" headerRowCount="0">
  <tableColumns count="8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</tableColumns>
  <tableStyleInfo name="MARÇO 26-style 7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150:I153" headerRowCount="0">
  <tableColumns count="8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</tableColumns>
  <tableStyleInfo name="MARÇO 26-style 8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184:I188" headerRowCount="0">
  <tableColumns count="8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</tableColumns>
  <tableStyleInfo name="MARÇO 26-style 9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17:P17" headerRowCount="0">
  <tableColumns count="15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</tableColumns>
  <tableStyleInfo name="ABRIL 26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19:J22" headerRowCount="0">
  <tableColumns count="9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</tableColumns>
  <tableStyleInfo name="ABRIL 26-style 2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50:J56" headerRowCount="0">
  <tableColumns count="9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</tableColumns>
  <tableStyleInfo name="ABRIL 26-style 3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63:J66" headerRowCount="0">
  <tableColumns count="9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</tableColumns>
  <tableStyleInfo name="ABRIL 26-style 4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94:J100" headerRowCount="0">
  <tableColumns count="9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</tableColumns>
  <tableStyleInfo name="ABRIL 26-style 5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107:J110" headerRowCount="0">
  <tableColumns count="9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</tableColumns>
  <tableStyleInfo name="ABRIL 26-style 6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A111:J135" headerRowCount="0">
  <tableColumns count="10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</tableColumns>
  <tableStyleInfo name="ABRIL 26-style 7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138:I141" headerRowCount="0">
  <tableColumns count="8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</tableColumns>
  <tableStyleInfo name="ABRIL 26-style 8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148:H151" headerRowCount="0">
  <tableColumns count="7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</tableColumns>
  <tableStyleInfo name="ABRIL 26-style 9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A152:H176" headerRowCount="0">
  <tableColumns count="8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</tableColumns>
  <tableStyleInfo name="ABRIL 26-style 10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179:H182" headerRowCount="0">
  <tableColumns count="7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</tableColumns>
  <tableStyleInfo name="ABRIL 26-style 1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7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drawing" Target="../drawings/drawing8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10" Type="http://schemas.openxmlformats.org/officeDocument/2006/relationships/table" Target="../tables/table33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12" Type="http://schemas.openxmlformats.org/officeDocument/2006/relationships/table" Target="../tables/table44.xml"/><Relationship Id="rId2" Type="http://schemas.openxmlformats.org/officeDocument/2006/relationships/table" Target="../tables/table34.xml"/><Relationship Id="rId1" Type="http://schemas.openxmlformats.org/officeDocument/2006/relationships/drawing" Target="../drawings/drawing10.xml"/><Relationship Id="rId6" Type="http://schemas.openxmlformats.org/officeDocument/2006/relationships/table" Target="../tables/table38.xml"/><Relationship Id="rId11" Type="http://schemas.openxmlformats.org/officeDocument/2006/relationships/table" Target="../tables/table43.xml"/><Relationship Id="rId5" Type="http://schemas.openxmlformats.org/officeDocument/2006/relationships/table" Target="../tables/table37.xml"/><Relationship Id="rId10" Type="http://schemas.openxmlformats.org/officeDocument/2006/relationships/table" Target="../tables/table42.xml"/><Relationship Id="rId4" Type="http://schemas.openxmlformats.org/officeDocument/2006/relationships/table" Target="../tables/table36.xml"/><Relationship Id="rId9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60"/>
  <sheetViews>
    <sheetView workbookViewId="0"/>
  </sheetViews>
  <sheetFormatPr defaultColWidth="12.5703125" defaultRowHeight="15.75" customHeight="1"/>
  <cols>
    <col min="1" max="1" width="63.140625" customWidth="1"/>
    <col min="2" max="2" width="16.28515625" customWidth="1"/>
    <col min="3" max="3" width="18.28515625" customWidth="1"/>
    <col min="4" max="4" width="16.28515625" customWidth="1"/>
    <col min="5" max="5" width="15.5703125" customWidth="1"/>
    <col min="6" max="6" width="14.85546875" customWidth="1"/>
    <col min="7" max="7" width="14.5703125" customWidth="1"/>
    <col min="8" max="8" width="19.28515625" customWidth="1"/>
    <col min="9" max="9" width="14.7109375" customWidth="1"/>
    <col min="10" max="10" width="13.28515625" customWidth="1"/>
    <col min="11" max="11" width="12.7109375" customWidth="1"/>
    <col min="12" max="12" width="15" customWidth="1"/>
    <col min="13" max="13" width="14" customWidth="1"/>
    <col min="14" max="14" width="14.85546875" customWidth="1"/>
  </cols>
  <sheetData>
    <row r="1" spans="1:29" ht="26.25">
      <c r="A1" s="4" t="s">
        <v>43</v>
      </c>
      <c r="B1" s="252" t="s">
        <v>44</v>
      </c>
      <c r="C1" s="253"/>
      <c r="D1" s="252" t="s">
        <v>45</v>
      </c>
      <c r="E1" s="253"/>
      <c r="F1" s="5" t="s">
        <v>15</v>
      </c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9" ht="17.25" customHeight="1">
      <c r="A2" s="8" t="s">
        <v>46</v>
      </c>
      <c r="B2" s="249">
        <v>4.2233796296296297E-2</v>
      </c>
      <c r="C2" s="243"/>
      <c r="D2" s="249">
        <v>4.2847222222222224E-2</v>
      </c>
      <c r="E2" s="243"/>
      <c r="F2" s="9">
        <v>4.3888888888888887E-2</v>
      </c>
      <c r="G2" s="6"/>
      <c r="H2" s="6"/>
      <c r="I2" s="10" t="s">
        <v>47</v>
      </c>
      <c r="J2" s="10" t="s">
        <v>48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3"/>
      <c r="Z2" s="3"/>
      <c r="AA2" s="3"/>
      <c r="AB2" s="3"/>
      <c r="AC2" s="3"/>
    </row>
    <row r="3" spans="1:29">
      <c r="A3" s="8" t="s">
        <v>49</v>
      </c>
      <c r="B3" s="249">
        <v>8.7847222222222215E-3</v>
      </c>
      <c r="C3" s="243"/>
      <c r="D3" s="249">
        <v>1.712962962962963E-3</v>
      </c>
      <c r="E3" s="243"/>
      <c r="F3" s="9">
        <v>5.3935185185185188E-3</v>
      </c>
      <c r="G3" s="6"/>
      <c r="H3" s="6"/>
      <c r="I3" s="10" t="s">
        <v>50</v>
      </c>
      <c r="J3" s="10" t="s">
        <v>51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3"/>
      <c r="Y3" s="3"/>
      <c r="Z3" s="3"/>
      <c r="AA3" s="3"/>
      <c r="AB3" s="3"/>
      <c r="AC3" s="3"/>
    </row>
    <row r="4" spans="1:29">
      <c r="A4" s="8" t="s">
        <v>52</v>
      </c>
      <c r="B4" s="249">
        <v>3.5995370370370369E-3</v>
      </c>
      <c r="C4" s="243"/>
      <c r="D4" s="249">
        <v>2.5462962962962965E-3</v>
      </c>
      <c r="E4" s="243"/>
      <c r="F4" s="9">
        <v>3.0787037037037037E-3</v>
      </c>
      <c r="G4" s="6"/>
      <c r="H4" s="6"/>
      <c r="I4" s="10" t="s">
        <v>53</v>
      </c>
      <c r="J4" s="10" t="s">
        <v>54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  <c r="Z4" s="3"/>
      <c r="AA4" s="3"/>
      <c r="AB4" s="3"/>
      <c r="AC4" s="3"/>
    </row>
    <row r="5" spans="1:29">
      <c r="A5" s="8" t="s">
        <v>55</v>
      </c>
      <c r="B5" s="249">
        <v>3.2754629629629631E-3</v>
      </c>
      <c r="C5" s="243"/>
      <c r="D5" s="249">
        <v>3.0324074074074073E-3</v>
      </c>
      <c r="E5" s="243"/>
      <c r="F5" s="9">
        <v>3.3333333333333335E-3</v>
      </c>
      <c r="G5" s="6"/>
      <c r="H5" s="6"/>
      <c r="I5" s="10" t="s">
        <v>56</v>
      </c>
      <c r="J5" s="10" t="s">
        <v>57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3"/>
      <c r="Y5" s="3"/>
      <c r="Z5" s="3"/>
      <c r="AA5" s="3"/>
      <c r="AB5" s="3"/>
      <c r="AC5" s="3"/>
    </row>
    <row r="6" spans="1:29">
      <c r="A6" s="8" t="s">
        <v>58</v>
      </c>
      <c r="B6" s="250">
        <v>0.37</v>
      </c>
      <c r="C6" s="243"/>
      <c r="D6" s="250">
        <v>0.48</v>
      </c>
      <c r="E6" s="243"/>
      <c r="F6" s="11">
        <v>0.43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9" ht="15">
      <c r="A7" s="8" t="s">
        <v>59</v>
      </c>
      <c r="B7" s="250">
        <v>0.97</v>
      </c>
      <c r="C7" s="243"/>
      <c r="D7" s="250">
        <v>0.97</v>
      </c>
      <c r="E7" s="243"/>
      <c r="F7" s="11">
        <v>0.97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9" ht="15">
      <c r="A8" s="8" t="s">
        <v>60</v>
      </c>
      <c r="B8" s="242">
        <v>1.0629999999999999</v>
      </c>
      <c r="C8" s="243"/>
      <c r="D8" s="242">
        <v>1.222</v>
      </c>
      <c r="E8" s="243"/>
      <c r="F8" s="12">
        <v>2.2850000000000001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9">
      <c r="A9" s="8" t="s">
        <v>61</v>
      </c>
      <c r="B9" s="242">
        <v>1.002</v>
      </c>
      <c r="C9" s="243"/>
      <c r="D9" s="242">
        <v>948</v>
      </c>
      <c r="E9" s="243"/>
      <c r="F9" s="13" t="s">
        <v>62</v>
      </c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9">
      <c r="A10" s="8" t="s">
        <v>63</v>
      </c>
      <c r="B10" s="242">
        <v>10.323</v>
      </c>
      <c r="C10" s="243"/>
      <c r="D10" s="242">
        <v>11.901</v>
      </c>
      <c r="E10" s="243"/>
      <c r="F10" s="12">
        <v>22.224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3"/>
      <c r="X10" s="3"/>
      <c r="Y10" s="3"/>
      <c r="Z10" s="3"/>
      <c r="AA10" s="3"/>
      <c r="AB10" s="3"/>
      <c r="AC10" s="3"/>
    </row>
    <row r="11" spans="1:29">
      <c r="A11" s="8" t="s">
        <v>64</v>
      </c>
      <c r="B11" s="251" t="s">
        <v>65</v>
      </c>
      <c r="C11" s="243"/>
      <c r="D11" s="251" t="s">
        <v>66</v>
      </c>
      <c r="E11" s="243"/>
      <c r="F11" s="13" t="s">
        <v>67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3"/>
      <c r="X11" s="3"/>
      <c r="Y11" s="3"/>
      <c r="Z11" s="3"/>
      <c r="AA11" s="3"/>
      <c r="AB11" s="3"/>
      <c r="AC11" s="3"/>
    </row>
    <row r="12" spans="1:29">
      <c r="A12" s="8" t="s">
        <v>68</v>
      </c>
      <c r="B12" s="251" t="s">
        <v>69</v>
      </c>
      <c r="C12" s="243"/>
      <c r="D12" s="251" t="s">
        <v>70</v>
      </c>
      <c r="E12" s="243"/>
      <c r="F12" s="14">
        <v>5007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9">
      <c r="A13" s="8" t="s">
        <v>71</v>
      </c>
      <c r="B13" s="250">
        <v>0.94779999999999998</v>
      </c>
      <c r="C13" s="243"/>
      <c r="D13" s="242" t="s">
        <v>72</v>
      </c>
      <c r="E13" s="243"/>
      <c r="F13" s="11">
        <v>0.95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9">
      <c r="A14" s="8" t="s">
        <v>73</v>
      </c>
      <c r="B14" s="242">
        <v>4.3</v>
      </c>
      <c r="C14" s="243"/>
      <c r="D14" s="242">
        <v>4.0999999999999996</v>
      </c>
      <c r="E14" s="243"/>
      <c r="F14" s="12">
        <v>4.2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3"/>
      <c r="Y14" s="3"/>
      <c r="Z14" s="3"/>
      <c r="AA14" s="3"/>
      <c r="AB14" s="3"/>
      <c r="AC14" s="3"/>
    </row>
    <row r="15" spans="1:29" ht="15">
      <c r="A15" s="8" t="s">
        <v>74</v>
      </c>
      <c r="B15" s="242" t="s">
        <v>8</v>
      </c>
      <c r="C15" s="243"/>
      <c r="D15" s="242" t="s">
        <v>8</v>
      </c>
      <c r="E15" s="243"/>
      <c r="F15" s="15">
        <v>0.31319999999999998</v>
      </c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9">
      <c r="A16" s="8" t="s">
        <v>75</v>
      </c>
      <c r="B16" s="242" t="s">
        <v>8</v>
      </c>
      <c r="C16" s="243"/>
      <c r="D16" s="242" t="s">
        <v>8</v>
      </c>
      <c r="E16" s="243"/>
      <c r="F16" s="12">
        <v>69.688999999999993</v>
      </c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9" ht="15">
      <c r="A17" s="8" t="s">
        <v>76</v>
      </c>
      <c r="B17" s="242">
        <v>408</v>
      </c>
      <c r="C17" s="243"/>
      <c r="D17" s="242">
        <v>533</v>
      </c>
      <c r="E17" s="243"/>
      <c r="F17" s="12">
        <v>941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3"/>
      <c r="Y17" s="3"/>
      <c r="Z17" s="3"/>
      <c r="AA17" s="3"/>
      <c r="AB17" s="3"/>
      <c r="AC17" s="3"/>
    </row>
    <row r="18" spans="1:29">
      <c r="A18" s="16" t="s">
        <v>77</v>
      </c>
      <c r="B18" s="17" t="s">
        <v>78</v>
      </c>
      <c r="C18" s="17" t="s">
        <v>31</v>
      </c>
      <c r="D18" s="18" t="s">
        <v>32</v>
      </c>
      <c r="E18" s="18" t="s">
        <v>33</v>
      </c>
      <c r="F18" s="18" t="s">
        <v>34</v>
      </c>
      <c r="G18" s="19" t="s">
        <v>35</v>
      </c>
      <c r="H18" s="244"/>
      <c r="I18" s="17" t="s">
        <v>79</v>
      </c>
      <c r="J18" s="17" t="s">
        <v>31</v>
      </c>
      <c r="K18" s="18" t="s">
        <v>32</v>
      </c>
      <c r="L18" s="18" t="s">
        <v>33</v>
      </c>
      <c r="M18" s="18" t="s">
        <v>34</v>
      </c>
      <c r="N18" s="18" t="s">
        <v>35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9" ht="12.75">
      <c r="A19" s="20" t="s">
        <v>30</v>
      </c>
      <c r="B19" s="21">
        <v>1</v>
      </c>
      <c r="C19" s="12" t="s">
        <v>8</v>
      </c>
      <c r="D19" s="21">
        <v>3</v>
      </c>
      <c r="E19" s="12">
        <v>140</v>
      </c>
      <c r="F19" s="21">
        <v>56</v>
      </c>
      <c r="G19" s="22">
        <v>5.5555555555555556E-4</v>
      </c>
      <c r="H19" s="245"/>
      <c r="I19" s="21">
        <v>1</v>
      </c>
      <c r="J19" s="12" t="s">
        <v>8</v>
      </c>
      <c r="K19" s="21">
        <v>2</v>
      </c>
      <c r="L19" s="12">
        <v>197</v>
      </c>
      <c r="M19" s="21">
        <v>64</v>
      </c>
      <c r="N19" s="23">
        <v>6.018518518518519E-4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9" ht="12.75">
      <c r="A20" s="20" t="s">
        <v>26</v>
      </c>
      <c r="B20" s="24">
        <v>0</v>
      </c>
      <c r="C20" s="25" t="s">
        <v>8</v>
      </c>
      <c r="D20" s="26">
        <v>29</v>
      </c>
      <c r="E20" s="25">
        <v>156</v>
      </c>
      <c r="F20" s="26">
        <v>38</v>
      </c>
      <c r="G20" s="27">
        <v>0</v>
      </c>
      <c r="H20" s="246"/>
      <c r="I20" s="24">
        <v>0</v>
      </c>
      <c r="J20" s="25" t="s">
        <v>8</v>
      </c>
      <c r="K20" s="26">
        <v>28</v>
      </c>
      <c r="L20" s="25">
        <v>143</v>
      </c>
      <c r="M20" s="26">
        <v>69</v>
      </c>
      <c r="N20" s="23">
        <v>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9" ht="12.75">
      <c r="A21" s="20" t="s">
        <v>25</v>
      </c>
      <c r="B21" s="24">
        <v>0</v>
      </c>
      <c r="C21" s="12" t="s">
        <v>8</v>
      </c>
      <c r="D21" s="21">
        <v>11</v>
      </c>
      <c r="E21" s="12">
        <v>125</v>
      </c>
      <c r="F21" s="21">
        <v>82</v>
      </c>
      <c r="G21" s="9">
        <v>0</v>
      </c>
      <c r="H21" s="245"/>
      <c r="I21" s="24">
        <v>0</v>
      </c>
      <c r="J21" s="12" t="s">
        <v>8</v>
      </c>
      <c r="K21" s="21">
        <v>15</v>
      </c>
      <c r="L21" s="12">
        <v>123</v>
      </c>
      <c r="M21" s="21">
        <v>62</v>
      </c>
      <c r="N21" s="23">
        <v>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9" ht="12.75">
      <c r="A22" s="20" t="s">
        <v>18</v>
      </c>
      <c r="B22" s="26">
        <v>1</v>
      </c>
      <c r="C22" s="25" t="s">
        <v>8</v>
      </c>
      <c r="D22" s="26">
        <v>0</v>
      </c>
      <c r="E22" s="25">
        <v>0</v>
      </c>
      <c r="F22" s="24">
        <v>0</v>
      </c>
      <c r="G22" s="28">
        <v>4.7453703703703704E-4</v>
      </c>
      <c r="H22" s="246"/>
      <c r="I22" s="26">
        <v>1</v>
      </c>
      <c r="J22" s="25" t="s">
        <v>8</v>
      </c>
      <c r="K22" s="26">
        <v>2</v>
      </c>
      <c r="L22" s="25">
        <v>1</v>
      </c>
      <c r="M22" s="26">
        <v>0</v>
      </c>
      <c r="N22" s="27">
        <v>3.7037037037037035E-4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9" ht="12.75">
      <c r="A23" s="20" t="s">
        <v>12</v>
      </c>
      <c r="B23" s="24">
        <v>0</v>
      </c>
      <c r="C23" s="12" t="s">
        <v>8</v>
      </c>
      <c r="D23" s="21">
        <v>13</v>
      </c>
      <c r="E23" s="12">
        <v>195</v>
      </c>
      <c r="F23" s="21">
        <v>40</v>
      </c>
      <c r="G23" s="9">
        <v>0</v>
      </c>
      <c r="H23" s="245"/>
      <c r="I23" s="29">
        <v>13</v>
      </c>
      <c r="J23" s="12" t="s">
        <v>8</v>
      </c>
      <c r="K23" s="21">
        <v>12</v>
      </c>
      <c r="L23" s="12">
        <v>190</v>
      </c>
      <c r="M23" s="21">
        <v>38</v>
      </c>
      <c r="N23" s="23">
        <v>9.7222222222222219E-4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9" ht="12.75">
      <c r="A24" s="30" t="s">
        <v>19</v>
      </c>
      <c r="B24" s="26">
        <v>0</v>
      </c>
      <c r="C24" s="25" t="s">
        <v>8</v>
      </c>
      <c r="D24" s="26">
        <v>6</v>
      </c>
      <c r="E24" s="25">
        <v>164</v>
      </c>
      <c r="F24" s="26">
        <v>67</v>
      </c>
      <c r="G24" s="27">
        <v>0</v>
      </c>
      <c r="H24" s="246"/>
      <c r="I24" s="24">
        <v>14</v>
      </c>
      <c r="J24" s="25" t="s">
        <v>8</v>
      </c>
      <c r="K24" s="26">
        <v>13</v>
      </c>
      <c r="L24" s="25">
        <v>223</v>
      </c>
      <c r="M24" s="26">
        <v>112</v>
      </c>
      <c r="N24" s="23">
        <v>6.5972222222222224E-4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9">
      <c r="A25" s="16" t="s">
        <v>80</v>
      </c>
      <c r="B25" s="17" t="s">
        <v>78</v>
      </c>
      <c r="C25" s="17" t="s">
        <v>31</v>
      </c>
      <c r="D25" s="18" t="s">
        <v>32</v>
      </c>
      <c r="E25" s="18" t="s">
        <v>81</v>
      </c>
      <c r="F25" s="18" t="s">
        <v>36</v>
      </c>
      <c r="G25" s="19" t="s">
        <v>35</v>
      </c>
      <c r="H25" s="247"/>
      <c r="I25" s="17" t="s">
        <v>79</v>
      </c>
      <c r="J25" s="17" t="s">
        <v>31</v>
      </c>
      <c r="K25" s="18" t="s">
        <v>32</v>
      </c>
      <c r="L25" s="18" t="s">
        <v>81</v>
      </c>
      <c r="M25" s="18" t="s">
        <v>36</v>
      </c>
      <c r="N25" s="18" t="s">
        <v>35</v>
      </c>
    </row>
    <row r="26" spans="1:29" ht="12.75">
      <c r="A26" s="31" t="s">
        <v>82</v>
      </c>
      <c r="B26" s="21" t="s">
        <v>83</v>
      </c>
      <c r="C26" s="12">
        <v>0</v>
      </c>
      <c r="D26" s="21">
        <v>0</v>
      </c>
      <c r="E26" s="12">
        <v>0</v>
      </c>
      <c r="F26" s="21">
        <v>0</v>
      </c>
      <c r="G26" s="28">
        <v>4.5138888888888887E-4</v>
      </c>
      <c r="H26" s="245"/>
      <c r="I26" s="26">
        <v>0</v>
      </c>
      <c r="J26" s="12">
        <v>0</v>
      </c>
      <c r="K26" s="21">
        <v>4</v>
      </c>
      <c r="L26" s="12">
        <v>0.26</v>
      </c>
      <c r="M26" s="21">
        <v>0</v>
      </c>
      <c r="N26" s="9"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9" ht="12.75">
      <c r="A27" s="31" t="s">
        <v>21</v>
      </c>
      <c r="B27" s="26">
        <v>716</v>
      </c>
      <c r="C27" s="25">
        <v>4.3</v>
      </c>
      <c r="D27" s="26">
        <v>124</v>
      </c>
      <c r="E27" s="25">
        <v>8.1999999999999993</v>
      </c>
      <c r="F27" s="26">
        <v>17.32</v>
      </c>
      <c r="G27" s="28">
        <v>1.6435185185185185E-3</v>
      </c>
      <c r="H27" s="246"/>
      <c r="I27" s="26">
        <v>481</v>
      </c>
      <c r="J27" s="25">
        <v>4.0999999999999996</v>
      </c>
      <c r="K27" s="26">
        <v>85</v>
      </c>
      <c r="L27" s="25">
        <v>5.6</v>
      </c>
      <c r="M27" s="32">
        <v>17.670000000000002</v>
      </c>
      <c r="N27" s="27">
        <v>1.4583333333333334E-3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9" ht="12.75">
      <c r="A28" s="31" t="s">
        <v>24</v>
      </c>
      <c r="B28" s="24">
        <v>445</v>
      </c>
      <c r="C28" s="12">
        <v>4.5999999999999996</v>
      </c>
      <c r="D28" s="21">
        <v>12</v>
      </c>
      <c r="E28" s="12">
        <v>0.8</v>
      </c>
      <c r="F28" s="33">
        <v>2.7</v>
      </c>
      <c r="G28" s="9">
        <v>2.7777777777777779E-3</v>
      </c>
      <c r="H28" s="245"/>
      <c r="I28" s="26">
        <v>533</v>
      </c>
      <c r="J28" s="12">
        <v>4.3</v>
      </c>
      <c r="K28" s="21">
        <v>32</v>
      </c>
      <c r="L28" s="12">
        <v>2.13</v>
      </c>
      <c r="M28" s="33">
        <v>6</v>
      </c>
      <c r="N28" s="9">
        <v>2.5231481481481481E-3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9" ht="12.75">
      <c r="A29" s="31" t="s">
        <v>84</v>
      </c>
      <c r="B29" s="24">
        <v>900</v>
      </c>
      <c r="C29" s="25">
        <v>4.5999999999999996</v>
      </c>
      <c r="D29" s="26">
        <v>56</v>
      </c>
      <c r="E29" s="25">
        <v>3.73</v>
      </c>
      <c r="F29" s="32">
        <v>6.22</v>
      </c>
      <c r="G29" s="27">
        <v>3.4375E-3</v>
      </c>
      <c r="H29" s="246"/>
      <c r="I29" s="26">
        <v>732</v>
      </c>
      <c r="J29" s="25">
        <v>4.5</v>
      </c>
      <c r="K29" s="26">
        <v>39</v>
      </c>
      <c r="L29" s="25">
        <v>2.6</v>
      </c>
      <c r="M29" s="32">
        <v>5.33</v>
      </c>
      <c r="N29" s="27">
        <v>2.2453703703703702E-3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9" ht="12.75">
      <c r="A30" s="31" t="s">
        <v>85</v>
      </c>
      <c r="B30" s="24">
        <v>892</v>
      </c>
      <c r="C30" s="12">
        <v>4.5999999999999996</v>
      </c>
      <c r="D30" s="21">
        <v>42</v>
      </c>
      <c r="E30" s="12">
        <v>2.8</v>
      </c>
      <c r="F30" s="21">
        <v>6.28</v>
      </c>
      <c r="G30" s="9">
        <v>2.3263888888888887E-3</v>
      </c>
      <c r="H30" s="245"/>
      <c r="I30" s="26">
        <v>731</v>
      </c>
      <c r="J30" s="12">
        <v>4.2</v>
      </c>
      <c r="K30" s="21">
        <v>54</v>
      </c>
      <c r="L30" s="12">
        <v>3.6</v>
      </c>
      <c r="M30" s="33">
        <v>7.39</v>
      </c>
      <c r="N30" s="9">
        <v>2.1643518518518518E-3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9" ht="12.75">
      <c r="A31" s="31" t="s">
        <v>86</v>
      </c>
      <c r="B31" s="24">
        <v>394</v>
      </c>
      <c r="C31" s="25">
        <v>4.7</v>
      </c>
      <c r="D31" s="26">
        <v>14</v>
      </c>
      <c r="E31" s="25">
        <v>0.93</v>
      </c>
      <c r="F31" s="32">
        <v>3.55</v>
      </c>
      <c r="G31" s="27">
        <v>7.2685185185185188E-3</v>
      </c>
      <c r="H31" s="246"/>
      <c r="I31" s="26">
        <v>414</v>
      </c>
      <c r="J31" s="25">
        <v>4.2</v>
      </c>
      <c r="K31" s="26">
        <v>22</v>
      </c>
      <c r="L31" s="25">
        <v>1.46</v>
      </c>
      <c r="M31" s="32">
        <v>5.31</v>
      </c>
      <c r="N31" s="27">
        <v>3.9236111111111112E-3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9" ht="12.75">
      <c r="A32" s="31" t="s">
        <v>87</v>
      </c>
      <c r="B32" s="34">
        <v>1402</v>
      </c>
      <c r="C32" s="12">
        <v>4.5</v>
      </c>
      <c r="D32" s="21">
        <v>51</v>
      </c>
      <c r="E32" s="12">
        <v>3.4</v>
      </c>
      <c r="F32" s="21">
        <v>3.64</v>
      </c>
      <c r="G32" s="9">
        <v>6.9791666666666665E-3</v>
      </c>
      <c r="H32" s="245"/>
      <c r="I32" s="35">
        <v>1496</v>
      </c>
      <c r="J32" s="12">
        <v>4.3</v>
      </c>
      <c r="K32" s="21">
        <v>48</v>
      </c>
      <c r="L32" s="12">
        <v>3.2</v>
      </c>
      <c r="M32" s="33">
        <v>3.21</v>
      </c>
      <c r="N32" s="9">
        <v>1.4027777777777778E-2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9" ht="12.75">
      <c r="A33" s="31" t="s">
        <v>23</v>
      </c>
      <c r="B33" s="24">
        <v>679</v>
      </c>
      <c r="C33" s="25">
        <v>4.5999999999999996</v>
      </c>
      <c r="D33" s="26">
        <v>18</v>
      </c>
      <c r="E33" s="25">
        <v>1.2</v>
      </c>
      <c r="F33" s="26">
        <v>2.65</v>
      </c>
      <c r="G33" s="27">
        <v>1.5069444444444444E-2</v>
      </c>
      <c r="H33" s="246"/>
      <c r="I33" s="26">
        <v>312</v>
      </c>
      <c r="J33" s="25">
        <v>4.7</v>
      </c>
      <c r="K33" s="26">
        <v>13</v>
      </c>
      <c r="L33" s="25">
        <v>0.86</v>
      </c>
      <c r="M33" s="32">
        <v>4.17</v>
      </c>
      <c r="N33" s="27">
        <v>6.7129629629629625E-4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9" ht="12.75">
      <c r="A34" s="31" t="s">
        <v>29</v>
      </c>
      <c r="B34" s="24">
        <v>231</v>
      </c>
      <c r="C34" s="12">
        <v>4.4000000000000004</v>
      </c>
      <c r="D34" s="21">
        <v>28</v>
      </c>
      <c r="E34" s="12">
        <v>1.86</v>
      </c>
      <c r="F34" s="21">
        <v>12.12</v>
      </c>
      <c r="G34" s="9">
        <v>1.1157407407407408E-2</v>
      </c>
      <c r="H34" s="245"/>
      <c r="I34" s="26">
        <v>332</v>
      </c>
      <c r="J34" s="12">
        <v>4.8</v>
      </c>
      <c r="K34" s="21">
        <v>25</v>
      </c>
      <c r="L34" s="12">
        <v>1.6</v>
      </c>
      <c r="M34" s="33">
        <v>7.53</v>
      </c>
      <c r="N34" s="9">
        <v>1.1851851851851851E-2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9" ht="12.75">
      <c r="A35" s="31" t="s">
        <v>28</v>
      </c>
      <c r="B35" s="24">
        <v>226</v>
      </c>
      <c r="C35" s="36" t="s">
        <v>8</v>
      </c>
      <c r="D35" s="26">
        <v>15</v>
      </c>
      <c r="E35" s="25">
        <v>1</v>
      </c>
      <c r="F35" s="32">
        <v>6.64</v>
      </c>
      <c r="G35" s="27">
        <v>6.2500000000000003E-3</v>
      </c>
      <c r="H35" s="246"/>
      <c r="I35" s="24">
        <v>62</v>
      </c>
      <c r="J35" s="25">
        <v>4.8</v>
      </c>
      <c r="K35" s="26">
        <v>3</v>
      </c>
      <c r="L35" s="25">
        <v>0.2</v>
      </c>
      <c r="M35" s="32">
        <v>4.84</v>
      </c>
      <c r="N35" s="27">
        <v>1.3888888888888889E-3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2.75">
      <c r="A36" s="31" t="s">
        <v>88</v>
      </c>
      <c r="B36" s="24">
        <v>370</v>
      </c>
      <c r="C36" s="12">
        <v>4.4000000000000004</v>
      </c>
      <c r="D36" s="21">
        <v>22</v>
      </c>
      <c r="E36" s="12">
        <v>1.46</v>
      </c>
      <c r="F36" s="33">
        <v>5.95</v>
      </c>
      <c r="G36" s="9">
        <v>4.2129629629629626E-3</v>
      </c>
      <c r="H36" s="245"/>
      <c r="I36" s="26">
        <v>491</v>
      </c>
      <c r="J36" s="12">
        <v>4.5999999999999996</v>
      </c>
      <c r="K36" s="21">
        <v>22</v>
      </c>
      <c r="L36" s="12">
        <v>1.46</v>
      </c>
      <c r="M36" s="33">
        <v>4.4800000000000004</v>
      </c>
      <c r="N36" s="9">
        <v>1.4236111111111112E-3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2.75">
      <c r="A37" s="31" t="s">
        <v>22</v>
      </c>
      <c r="B37" s="24">
        <v>1.0409999999999999</v>
      </c>
      <c r="C37" s="25">
        <v>4.4000000000000004</v>
      </c>
      <c r="D37" s="26">
        <v>112</v>
      </c>
      <c r="E37" s="25">
        <v>7.46</v>
      </c>
      <c r="F37" s="26">
        <v>10.76</v>
      </c>
      <c r="G37" s="27">
        <v>1.8865740740740742E-3</v>
      </c>
      <c r="H37" s="246"/>
      <c r="I37" s="26">
        <v>528</v>
      </c>
      <c r="J37" s="25">
        <v>4.8</v>
      </c>
      <c r="K37" s="26">
        <v>60</v>
      </c>
      <c r="L37" s="25">
        <v>4</v>
      </c>
      <c r="M37" s="32">
        <v>11.36</v>
      </c>
      <c r="N37" s="27">
        <v>1.9097222222222222E-3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2.75">
      <c r="A38" s="31" t="s">
        <v>89</v>
      </c>
      <c r="B38" s="24">
        <v>901</v>
      </c>
      <c r="C38" s="12">
        <v>4.5999999999999996</v>
      </c>
      <c r="D38" s="21">
        <v>43</v>
      </c>
      <c r="E38" s="12">
        <v>2.86</v>
      </c>
      <c r="F38" s="33">
        <v>4.7699999999999996</v>
      </c>
      <c r="G38" s="9">
        <v>2.0833333333333333E-3</v>
      </c>
      <c r="H38" s="245"/>
      <c r="I38" s="26">
        <v>860</v>
      </c>
      <c r="J38" s="12">
        <v>4.4000000000000004</v>
      </c>
      <c r="K38" s="21">
        <v>47</v>
      </c>
      <c r="L38" s="12">
        <v>3.13</v>
      </c>
      <c r="M38" s="33">
        <v>5.47</v>
      </c>
      <c r="N38" s="9">
        <v>1.2847222222222223E-3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2.75">
      <c r="A39" s="31" t="s">
        <v>90</v>
      </c>
      <c r="B39" s="24">
        <v>884</v>
      </c>
      <c r="C39" s="25">
        <v>4.3</v>
      </c>
      <c r="D39" s="26">
        <v>61</v>
      </c>
      <c r="E39" s="25">
        <v>4.0599999999999996</v>
      </c>
      <c r="F39" s="32">
        <v>6.9</v>
      </c>
      <c r="G39" s="27">
        <v>2.4421296296296296E-3</v>
      </c>
      <c r="H39" s="246"/>
      <c r="I39" s="24">
        <v>737</v>
      </c>
      <c r="J39" s="25">
        <v>4.4000000000000004</v>
      </c>
      <c r="K39" s="26">
        <v>79</v>
      </c>
      <c r="L39" s="25">
        <v>5.26</v>
      </c>
      <c r="M39" s="32">
        <v>10.72</v>
      </c>
      <c r="N39" s="27">
        <v>2.7430555555555554E-3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2.75">
      <c r="A40" s="31" t="s">
        <v>91</v>
      </c>
      <c r="B40" s="24">
        <v>318</v>
      </c>
      <c r="C40" s="12">
        <v>4.7</v>
      </c>
      <c r="D40" s="21">
        <v>15</v>
      </c>
      <c r="E40" s="12">
        <v>1</v>
      </c>
      <c r="F40" s="33">
        <v>4.72</v>
      </c>
      <c r="G40" s="9">
        <v>1.1689814814814816E-3</v>
      </c>
      <c r="H40" s="245"/>
      <c r="I40" s="26">
        <v>931</v>
      </c>
      <c r="J40" s="12">
        <v>4.4000000000000004</v>
      </c>
      <c r="K40" s="21">
        <v>35</v>
      </c>
      <c r="L40" s="12">
        <v>2.33</v>
      </c>
      <c r="M40" s="33">
        <v>3.76</v>
      </c>
      <c r="N40" s="9">
        <v>2.2569444444444442E-3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2.75">
      <c r="A41" s="31" t="s">
        <v>92</v>
      </c>
      <c r="B41" s="24">
        <v>1.0629999999999999</v>
      </c>
      <c r="C41" s="25">
        <v>4.4000000000000004</v>
      </c>
      <c r="D41" s="26">
        <v>36</v>
      </c>
      <c r="E41" s="25">
        <v>2.4</v>
      </c>
      <c r="F41" s="32">
        <v>3.39</v>
      </c>
      <c r="G41" s="27">
        <v>9.0277777777777769E-3</v>
      </c>
      <c r="H41" s="246"/>
      <c r="I41" s="26">
        <v>676</v>
      </c>
      <c r="J41" s="25">
        <v>4.2</v>
      </c>
      <c r="K41" s="26">
        <v>25</v>
      </c>
      <c r="L41" s="25">
        <v>1.66</v>
      </c>
      <c r="M41" s="32">
        <v>3.7</v>
      </c>
      <c r="N41" s="27">
        <v>2.3379629629629631E-3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2.75">
      <c r="A42" s="31" t="s">
        <v>93</v>
      </c>
      <c r="B42" s="24">
        <v>538</v>
      </c>
      <c r="C42" s="12">
        <v>4.4000000000000004</v>
      </c>
      <c r="D42" s="21">
        <v>13</v>
      </c>
      <c r="E42" s="12">
        <v>0.86</v>
      </c>
      <c r="F42" s="33">
        <v>2.42</v>
      </c>
      <c r="G42" s="9">
        <v>6.0185185185185185E-3</v>
      </c>
      <c r="H42" s="245"/>
      <c r="I42" s="26">
        <v>687</v>
      </c>
      <c r="J42" s="12">
        <v>4.2</v>
      </c>
      <c r="K42" s="21">
        <v>32</v>
      </c>
      <c r="L42" s="12">
        <v>2.13</v>
      </c>
      <c r="M42" s="33">
        <v>4.66</v>
      </c>
      <c r="N42" s="9">
        <v>7.1759259259259259E-3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2.75">
      <c r="A43" s="31" t="s">
        <v>94</v>
      </c>
      <c r="B43" s="24" t="s">
        <v>8</v>
      </c>
      <c r="C43" s="36" t="s">
        <v>8</v>
      </c>
      <c r="D43" s="24" t="s">
        <v>8</v>
      </c>
      <c r="E43" s="24" t="s">
        <v>8</v>
      </c>
      <c r="F43" s="26" t="s">
        <v>8</v>
      </c>
      <c r="G43" s="36" t="s">
        <v>8</v>
      </c>
      <c r="H43" s="246"/>
      <c r="I43" s="26">
        <v>123</v>
      </c>
      <c r="J43" s="25">
        <v>4.5</v>
      </c>
      <c r="K43" s="26">
        <v>8</v>
      </c>
      <c r="L43" s="25">
        <v>0.53</v>
      </c>
      <c r="M43" s="32">
        <v>6.5</v>
      </c>
      <c r="N43" s="27">
        <v>9.6064814814814819E-4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2.75">
      <c r="A44" s="31" t="s">
        <v>20</v>
      </c>
      <c r="B44" s="24">
        <v>669</v>
      </c>
      <c r="C44" s="12">
        <v>4.5999999999999996</v>
      </c>
      <c r="D44" s="21">
        <v>71</v>
      </c>
      <c r="E44" s="12">
        <v>4.7300000000000004</v>
      </c>
      <c r="F44" s="33">
        <v>10.61</v>
      </c>
      <c r="G44" s="9">
        <v>2.0601851851851853E-3</v>
      </c>
      <c r="H44" s="245"/>
      <c r="I44" s="24">
        <v>655</v>
      </c>
      <c r="J44" s="12">
        <v>4.2</v>
      </c>
      <c r="K44" s="21">
        <v>44</v>
      </c>
      <c r="L44" s="12">
        <v>2.93</v>
      </c>
      <c r="M44" s="33">
        <v>6.72</v>
      </c>
      <c r="N44" s="9">
        <v>1.261574074074074E-3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2.75">
      <c r="A45" s="31" t="s">
        <v>27</v>
      </c>
      <c r="B45" s="24">
        <v>665</v>
      </c>
      <c r="C45" s="25">
        <v>4.5</v>
      </c>
      <c r="D45" s="26">
        <v>66</v>
      </c>
      <c r="E45" s="25">
        <v>4.4000000000000004</v>
      </c>
      <c r="F45" s="32">
        <v>9.92</v>
      </c>
      <c r="G45" s="27">
        <v>3.8657407407407408E-3</v>
      </c>
      <c r="H45" s="246"/>
      <c r="I45" s="26">
        <v>798</v>
      </c>
      <c r="J45" s="25">
        <v>4.4000000000000004</v>
      </c>
      <c r="K45" s="26">
        <v>46</v>
      </c>
      <c r="L45" s="25">
        <v>3.06</v>
      </c>
      <c r="M45" s="32">
        <v>5.76</v>
      </c>
      <c r="N45" s="27">
        <v>5.1273148148148146E-3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2.75">
      <c r="A46" s="31" t="s">
        <v>95</v>
      </c>
      <c r="B46" s="24">
        <v>548</v>
      </c>
      <c r="C46" s="12">
        <v>4.5</v>
      </c>
      <c r="D46" s="21">
        <v>36</v>
      </c>
      <c r="E46" s="12">
        <v>2.4</v>
      </c>
      <c r="F46" s="33">
        <v>6.57</v>
      </c>
      <c r="G46" s="9">
        <v>2.6967592592592594E-3</v>
      </c>
      <c r="H46" s="245"/>
      <c r="I46" s="26">
        <v>638</v>
      </c>
      <c r="J46" s="12">
        <v>4.5</v>
      </c>
      <c r="K46" s="21">
        <v>50</v>
      </c>
      <c r="L46" s="12">
        <v>3.33</v>
      </c>
      <c r="M46" s="33">
        <v>7.84</v>
      </c>
      <c r="N46" s="9">
        <v>2.4537037037037036E-3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2.75">
      <c r="A47" s="31" t="s">
        <v>96</v>
      </c>
      <c r="B47" s="24">
        <v>541</v>
      </c>
      <c r="C47" s="25">
        <v>4.2</v>
      </c>
      <c r="D47" s="26">
        <v>31</v>
      </c>
      <c r="E47" s="25">
        <v>2.06</v>
      </c>
      <c r="F47" s="32">
        <v>5.73</v>
      </c>
      <c r="G47" s="27">
        <v>4.7569444444444447E-3</v>
      </c>
      <c r="H47" s="246"/>
      <c r="I47" s="26">
        <v>539</v>
      </c>
      <c r="J47" s="25">
        <v>0</v>
      </c>
      <c r="K47" s="26">
        <v>28</v>
      </c>
      <c r="L47" s="25">
        <v>1.86</v>
      </c>
      <c r="M47" s="32">
        <v>5.19</v>
      </c>
      <c r="N47" s="27">
        <v>2.4305555555555556E-3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2.75">
      <c r="A48" s="31" t="s">
        <v>97</v>
      </c>
      <c r="B48" s="24" t="s">
        <v>8</v>
      </c>
      <c r="C48" s="36" t="s">
        <v>8</v>
      </c>
      <c r="D48" s="24" t="s">
        <v>8</v>
      </c>
      <c r="E48" s="24" t="s">
        <v>8</v>
      </c>
      <c r="F48" s="26" t="s">
        <v>8</v>
      </c>
      <c r="G48" s="36" t="s">
        <v>8</v>
      </c>
      <c r="H48" s="245"/>
      <c r="I48" s="26">
        <v>63</v>
      </c>
      <c r="J48" s="12">
        <v>5</v>
      </c>
      <c r="K48" s="21">
        <v>2</v>
      </c>
      <c r="L48" s="12">
        <v>0.13</v>
      </c>
      <c r="M48" s="33">
        <v>3.17</v>
      </c>
      <c r="N48" s="9">
        <v>6.5972222222222224E-4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2.75">
      <c r="A49" s="31" t="s">
        <v>98</v>
      </c>
      <c r="B49" s="37" t="s">
        <v>99</v>
      </c>
      <c r="C49" s="25">
        <v>4.4000000000000004</v>
      </c>
      <c r="D49" s="26">
        <v>74</v>
      </c>
      <c r="E49" s="25">
        <v>4.93</v>
      </c>
      <c r="F49" s="32">
        <v>6.55</v>
      </c>
      <c r="G49" s="27">
        <v>2.0254629629629629E-3</v>
      </c>
      <c r="H49" s="248"/>
      <c r="I49" s="26">
        <v>1.1579999999999999</v>
      </c>
      <c r="J49" s="25">
        <v>4.5</v>
      </c>
      <c r="K49" s="26">
        <v>73</v>
      </c>
      <c r="L49" s="25">
        <v>4.8600000000000003</v>
      </c>
      <c r="M49" s="32">
        <v>6.3</v>
      </c>
      <c r="N49" s="27">
        <v>1.5162037037037036E-3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2.75">
      <c r="A50" s="6"/>
      <c r="B50" s="38" t="s">
        <v>100</v>
      </c>
      <c r="C50" s="38" t="s">
        <v>101</v>
      </c>
      <c r="D50" s="38" t="s">
        <v>102</v>
      </c>
      <c r="E50" s="38" t="s">
        <v>103</v>
      </c>
      <c r="F50" s="6"/>
      <c r="G50" s="38" t="s">
        <v>104</v>
      </c>
      <c r="H50" s="6"/>
      <c r="I50" s="38" t="s">
        <v>105</v>
      </c>
      <c r="J50" s="38" t="s">
        <v>106</v>
      </c>
      <c r="K50" s="38" t="s">
        <v>107</v>
      </c>
      <c r="L50" s="38" t="s">
        <v>108</v>
      </c>
      <c r="M50" s="6"/>
      <c r="N50" s="38" t="s">
        <v>109</v>
      </c>
      <c r="O50" s="7"/>
    </row>
    <row r="51" spans="1:29" ht="15">
      <c r="A51" s="39"/>
      <c r="B51" s="40"/>
      <c r="C51" s="40"/>
      <c r="D51" s="40"/>
      <c r="E51" s="40"/>
      <c r="F51" s="41"/>
      <c r="G51" s="40"/>
      <c r="H51" s="41"/>
      <c r="I51" s="40"/>
      <c r="J51" s="40"/>
      <c r="K51" s="40"/>
      <c r="L51" s="39"/>
      <c r="M51" s="39"/>
      <c r="N51" s="39"/>
      <c r="O51" s="7"/>
    </row>
    <row r="52" spans="1:29" ht="18.75">
      <c r="A52" s="42" t="s">
        <v>110</v>
      </c>
      <c r="B52" s="43" t="s">
        <v>0</v>
      </c>
      <c r="C52" s="43" t="s">
        <v>5</v>
      </c>
      <c r="D52" s="43" t="s">
        <v>6</v>
      </c>
      <c r="E52" s="43" t="s">
        <v>17</v>
      </c>
      <c r="F52" s="43" t="s">
        <v>16</v>
      </c>
      <c r="G52" s="43" t="s">
        <v>1</v>
      </c>
      <c r="H52" s="43" t="s">
        <v>3</v>
      </c>
      <c r="I52" s="43" t="s">
        <v>2</v>
      </c>
      <c r="J52" s="43" t="s">
        <v>7</v>
      </c>
      <c r="K52" s="43" t="s">
        <v>4</v>
      </c>
      <c r="L52" s="6"/>
      <c r="M52" s="6"/>
      <c r="N52" s="6"/>
      <c r="O52" s="7"/>
    </row>
    <row r="53" spans="1:29" ht="18.75">
      <c r="A53" s="42" t="s">
        <v>111</v>
      </c>
      <c r="B53" s="2"/>
      <c r="C53" s="2"/>
      <c r="D53" s="2"/>
      <c r="E53" s="44"/>
      <c r="F53" s="2"/>
      <c r="G53" s="2"/>
      <c r="H53" s="2"/>
      <c r="I53" s="2"/>
      <c r="J53" s="2"/>
      <c r="K53" s="2"/>
      <c r="L53" s="39"/>
      <c r="M53" s="39"/>
      <c r="N53" s="39"/>
      <c r="O53" s="7"/>
    </row>
    <row r="54" spans="1:29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2.7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2.75">
      <c r="A56" s="7"/>
      <c r="B56" s="7"/>
      <c r="C56" s="45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2.75">
      <c r="A57" s="7"/>
      <c r="B57" s="7"/>
      <c r="C57" s="4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2.7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2.7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2.7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2.7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2.7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2.7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2.7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2.7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2.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2.7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2.7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2.7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2.7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2.7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2.7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2.7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2.7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2.7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2.7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2.7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2.7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2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2.7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2.7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2.7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2.7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2.7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2.7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2.7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2.7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2.7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2.7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2.7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2.7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2.7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2.7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2.7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2.7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2.7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2.7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2.7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2.7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2.7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2.7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2.7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2.7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2.7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2.7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2.7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2.7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2.7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2.7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2.7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2.7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2.7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2.7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2.7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2.7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2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2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2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2.7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2.7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2.7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2.7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2.7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2.7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2.7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2.7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2.7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2.7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2.7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2.7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2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2.7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2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2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2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2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2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2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2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2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2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2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</sheetData>
  <mergeCells count="35">
    <mergeCell ref="B1:C1"/>
    <mergeCell ref="D1:E1"/>
    <mergeCell ref="B2:C2"/>
    <mergeCell ref="D2:E2"/>
    <mergeCell ref="B3:C3"/>
    <mergeCell ref="D3:E3"/>
    <mergeCell ref="D4:E4"/>
    <mergeCell ref="B11:C11"/>
    <mergeCell ref="B12:C12"/>
    <mergeCell ref="B13:C13"/>
    <mergeCell ref="B14:C14"/>
    <mergeCell ref="D12:E12"/>
    <mergeCell ref="D13:E13"/>
    <mergeCell ref="D14:E14"/>
    <mergeCell ref="B15:C15"/>
    <mergeCell ref="B16:C16"/>
    <mergeCell ref="B17:C17"/>
    <mergeCell ref="B4:C4"/>
    <mergeCell ref="B5:C5"/>
    <mergeCell ref="B6:C6"/>
    <mergeCell ref="B7:C7"/>
    <mergeCell ref="B8:C8"/>
    <mergeCell ref="B9:C9"/>
    <mergeCell ref="B10:C10"/>
    <mergeCell ref="D15:E15"/>
    <mergeCell ref="D16:E16"/>
    <mergeCell ref="D17:E17"/>
    <mergeCell ref="H18:H49"/>
    <mergeCell ref="D5:E5"/>
    <mergeCell ref="D6:E6"/>
    <mergeCell ref="D7:E7"/>
    <mergeCell ref="D8:E8"/>
    <mergeCell ref="D9:E9"/>
    <mergeCell ref="D10:E10"/>
    <mergeCell ref="D11:E1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961"/>
  <sheetViews>
    <sheetView workbookViewId="0"/>
  </sheetViews>
  <sheetFormatPr defaultColWidth="12.5703125" defaultRowHeight="15.75" customHeight="1"/>
  <cols>
    <col min="1" max="1" width="49.140625" customWidth="1"/>
    <col min="2" max="2" width="16.28515625" customWidth="1"/>
    <col min="3" max="3" width="8.42578125" customWidth="1"/>
    <col min="4" max="4" width="16.28515625" customWidth="1"/>
    <col min="5" max="5" width="5" customWidth="1"/>
    <col min="6" max="6" width="14.85546875" customWidth="1"/>
    <col min="7" max="7" width="14.5703125" customWidth="1"/>
    <col min="8" max="8" width="1.85546875" customWidth="1"/>
    <col min="9" max="9" width="14.7109375" customWidth="1"/>
    <col min="10" max="10" width="13.28515625" customWidth="1"/>
    <col min="11" max="11" width="12.7109375" customWidth="1"/>
    <col min="12" max="12" width="15" customWidth="1"/>
    <col min="13" max="13" width="14" customWidth="1"/>
    <col min="14" max="14" width="14.85546875" customWidth="1"/>
  </cols>
  <sheetData>
    <row r="1" spans="1:23" ht="26.25">
      <c r="A1" s="4" t="s">
        <v>112</v>
      </c>
      <c r="B1" s="252" t="s">
        <v>113</v>
      </c>
      <c r="C1" s="253"/>
      <c r="D1" s="252" t="s">
        <v>114</v>
      </c>
      <c r="E1" s="253"/>
      <c r="F1" s="5" t="s">
        <v>15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7.25" customHeight="1">
      <c r="A2" s="8" t="s">
        <v>115</v>
      </c>
      <c r="B2" s="257">
        <v>4.1990740740740738E-2</v>
      </c>
      <c r="C2" s="243"/>
      <c r="D2" s="257">
        <v>3.2581018518518516E-2</v>
      </c>
      <c r="E2" s="243"/>
      <c r="F2" s="46">
        <v>3.7291666666666667E-2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>
      <c r="A3" s="8" t="s">
        <v>116</v>
      </c>
      <c r="B3" s="257">
        <v>3.0902777777777777E-3</v>
      </c>
      <c r="C3" s="243"/>
      <c r="D3" s="257">
        <v>2.0023148148148148E-3</v>
      </c>
      <c r="E3" s="243"/>
      <c r="F3" s="46">
        <v>2.5462962962962965E-3</v>
      </c>
      <c r="G3" s="7"/>
      <c r="H3" s="7"/>
      <c r="I3" s="7"/>
      <c r="J3" s="7"/>
      <c r="K3" s="7"/>
      <c r="L3" s="7"/>
      <c r="M3" s="7"/>
      <c r="N3" s="7"/>
      <c r="O3" s="47" t="s">
        <v>47</v>
      </c>
      <c r="P3" s="7" t="s">
        <v>48</v>
      </c>
      <c r="Q3" s="7"/>
      <c r="R3" s="7"/>
      <c r="S3" s="7"/>
      <c r="T3" s="7"/>
      <c r="U3" s="7"/>
      <c r="V3" s="7"/>
      <c r="W3" s="7"/>
    </row>
    <row r="4" spans="1:23">
      <c r="A4" s="8" t="s">
        <v>117</v>
      </c>
      <c r="B4" s="257">
        <v>2.4537037037037036E-3</v>
      </c>
      <c r="C4" s="243"/>
      <c r="D4" s="257">
        <v>2.627314814814815E-3</v>
      </c>
      <c r="E4" s="243"/>
      <c r="F4" s="46">
        <v>2.5462962962962965E-3</v>
      </c>
      <c r="G4" s="7"/>
      <c r="H4" s="7"/>
      <c r="I4" s="7"/>
      <c r="J4" s="7"/>
      <c r="K4" s="7"/>
      <c r="L4" s="7"/>
      <c r="M4" s="7"/>
      <c r="N4" s="7"/>
      <c r="O4" s="48" t="s">
        <v>50</v>
      </c>
      <c r="P4" s="7" t="s">
        <v>51</v>
      </c>
      <c r="Q4" s="7"/>
      <c r="R4" s="7"/>
      <c r="S4" s="7"/>
      <c r="T4" s="7"/>
      <c r="U4" s="7"/>
      <c r="V4" s="7"/>
      <c r="W4" s="7"/>
    </row>
    <row r="5" spans="1:23">
      <c r="A5" s="8" t="s">
        <v>118</v>
      </c>
      <c r="B5" s="257">
        <v>3.1712962962962962E-3</v>
      </c>
      <c r="C5" s="243"/>
      <c r="D5" s="257">
        <v>2.8240740740740739E-3</v>
      </c>
      <c r="E5" s="243"/>
      <c r="F5" s="46">
        <v>2.9976851851851853E-3</v>
      </c>
      <c r="G5" s="7"/>
      <c r="H5" s="7"/>
      <c r="I5" s="7"/>
      <c r="J5" s="7"/>
      <c r="K5" s="7"/>
      <c r="L5" s="7"/>
      <c r="M5" s="7"/>
      <c r="N5" s="7"/>
      <c r="O5" s="49" t="s">
        <v>53</v>
      </c>
      <c r="P5" s="7" t="s">
        <v>54</v>
      </c>
      <c r="Q5" s="7"/>
      <c r="R5" s="7"/>
      <c r="S5" s="7"/>
      <c r="T5" s="7"/>
      <c r="U5" s="7"/>
      <c r="V5" s="7"/>
      <c r="W5" s="7"/>
    </row>
    <row r="6" spans="1:23">
      <c r="A6" s="8" t="s">
        <v>119</v>
      </c>
      <c r="B6" s="256">
        <v>4.4800000000000004</v>
      </c>
      <c r="C6" s="243"/>
      <c r="D6" s="256">
        <v>4.24</v>
      </c>
      <c r="E6" s="243"/>
      <c r="F6" s="51">
        <v>4.3600000000000003</v>
      </c>
      <c r="G6" s="7"/>
      <c r="H6" s="7"/>
      <c r="I6" s="7"/>
      <c r="J6" s="7"/>
      <c r="K6" s="7"/>
      <c r="L6" s="7"/>
      <c r="M6" s="7"/>
      <c r="N6" s="7"/>
      <c r="O6" s="52" t="s">
        <v>56</v>
      </c>
      <c r="P6" s="7" t="s">
        <v>57</v>
      </c>
      <c r="Q6" s="7"/>
      <c r="R6" s="7"/>
      <c r="S6" s="7"/>
      <c r="T6" s="7"/>
      <c r="U6" s="7"/>
      <c r="V6" s="7"/>
      <c r="W6" s="7"/>
    </row>
    <row r="7" spans="1:23" ht="15">
      <c r="A7" s="8" t="s">
        <v>59</v>
      </c>
      <c r="B7" s="258">
        <v>0.98</v>
      </c>
      <c r="C7" s="243"/>
      <c r="D7" s="258">
        <v>0.97</v>
      </c>
      <c r="E7" s="243"/>
      <c r="F7" s="53">
        <v>0.98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>
      <c r="A8" s="8" t="s">
        <v>60</v>
      </c>
      <c r="B8" s="255">
        <v>2752</v>
      </c>
      <c r="C8" s="243"/>
      <c r="D8" s="255">
        <v>1208</v>
      </c>
      <c r="E8" s="243"/>
      <c r="F8" s="54">
        <v>3960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>
      <c r="A9" s="8" t="s">
        <v>120</v>
      </c>
      <c r="B9" s="258">
        <v>0.57999999999999996</v>
      </c>
      <c r="C9" s="243"/>
      <c r="D9" s="258">
        <v>0.62</v>
      </c>
      <c r="E9" s="243"/>
      <c r="F9" s="53">
        <v>0.6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>
      <c r="A10" s="8" t="s">
        <v>121</v>
      </c>
      <c r="B10" s="256">
        <v>835</v>
      </c>
      <c r="C10" s="243"/>
      <c r="D10" s="256">
        <v>780</v>
      </c>
      <c r="E10" s="243"/>
      <c r="F10" s="55" t="s">
        <v>122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8" t="s">
        <v>123</v>
      </c>
      <c r="B11" s="256">
        <v>982</v>
      </c>
      <c r="C11" s="243"/>
      <c r="D11" s="255">
        <v>2778</v>
      </c>
      <c r="E11" s="243"/>
      <c r="F11" s="54">
        <v>3760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3">
      <c r="A12" s="8" t="s">
        <v>124</v>
      </c>
      <c r="B12" s="259" t="s">
        <v>125</v>
      </c>
      <c r="C12" s="243"/>
      <c r="D12" s="259" t="s">
        <v>126</v>
      </c>
      <c r="E12" s="243"/>
      <c r="F12" s="55" t="s">
        <v>127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3">
      <c r="A13" s="8" t="s">
        <v>128</v>
      </c>
      <c r="B13" s="259" t="s">
        <v>129</v>
      </c>
      <c r="C13" s="243"/>
      <c r="D13" s="259" t="s">
        <v>130</v>
      </c>
      <c r="E13" s="243"/>
      <c r="F13" s="54">
        <v>4906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3">
      <c r="A14" s="8" t="s">
        <v>131</v>
      </c>
      <c r="B14" s="258">
        <v>0.94499999999999995</v>
      </c>
      <c r="C14" s="243"/>
      <c r="D14" s="258">
        <v>0.93</v>
      </c>
      <c r="E14" s="243"/>
      <c r="F14" s="53">
        <v>0.94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>
      <c r="A15" s="8" t="s">
        <v>74</v>
      </c>
      <c r="B15" s="254">
        <v>2.4400000000000002E-2</v>
      </c>
      <c r="C15" s="243"/>
      <c r="D15" s="254">
        <v>5.1700000000000003E-2</v>
      </c>
      <c r="E15" s="243"/>
      <c r="F15" s="56">
        <v>7.6100000000000001E-2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>
      <c r="A16" s="8" t="s">
        <v>132</v>
      </c>
      <c r="B16" s="255">
        <v>69664</v>
      </c>
      <c r="C16" s="243"/>
      <c r="D16" s="255">
        <v>68754</v>
      </c>
      <c r="E16" s="243"/>
      <c r="F16" s="54">
        <v>68837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6" ht="15">
      <c r="A17" s="8" t="s">
        <v>76</v>
      </c>
      <c r="B17" s="256">
        <v>594</v>
      </c>
      <c r="C17" s="243"/>
      <c r="D17" s="256">
        <v>548</v>
      </c>
      <c r="E17" s="243"/>
      <c r="F17" s="54">
        <v>1142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6">
      <c r="A18" s="16" t="s">
        <v>77</v>
      </c>
      <c r="B18" s="17" t="s">
        <v>78</v>
      </c>
      <c r="C18" s="17" t="s">
        <v>31</v>
      </c>
      <c r="D18" s="18" t="s">
        <v>32</v>
      </c>
      <c r="E18" s="18" t="s">
        <v>33</v>
      </c>
      <c r="F18" s="18" t="s">
        <v>34</v>
      </c>
      <c r="H18" s="244"/>
      <c r="I18" s="17" t="s">
        <v>79</v>
      </c>
      <c r="J18" s="17" t="s">
        <v>31</v>
      </c>
      <c r="K18" s="18" t="s">
        <v>32</v>
      </c>
      <c r="L18" s="18" t="s">
        <v>33</v>
      </c>
      <c r="M18" s="18" t="s">
        <v>34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>
      <c r="A19" s="20" t="s">
        <v>30</v>
      </c>
      <c r="B19" s="12" t="s">
        <v>8</v>
      </c>
      <c r="C19" s="12" t="s">
        <v>8</v>
      </c>
      <c r="D19" s="21">
        <v>6</v>
      </c>
      <c r="E19" s="12">
        <v>269</v>
      </c>
      <c r="F19" s="21">
        <v>190</v>
      </c>
      <c r="G19" s="6"/>
      <c r="H19" s="245"/>
      <c r="I19" s="12" t="s">
        <v>8</v>
      </c>
      <c r="J19" s="12" t="s">
        <v>8</v>
      </c>
      <c r="K19" s="21">
        <v>5</v>
      </c>
      <c r="L19" s="12">
        <v>145</v>
      </c>
      <c r="M19" s="21">
        <v>110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>
      <c r="A20" s="20" t="s">
        <v>26</v>
      </c>
      <c r="B20" s="25" t="s">
        <v>8</v>
      </c>
      <c r="C20" s="25" t="s">
        <v>8</v>
      </c>
      <c r="D20" s="26">
        <v>13</v>
      </c>
      <c r="E20" s="25">
        <v>169</v>
      </c>
      <c r="F20" s="26">
        <v>545</v>
      </c>
      <c r="G20" s="6"/>
      <c r="H20" s="246"/>
      <c r="I20" s="25" t="s">
        <v>8</v>
      </c>
      <c r="J20" s="25" t="s">
        <v>8</v>
      </c>
      <c r="K20" s="26">
        <v>13</v>
      </c>
      <c r="L20" s="25">
        <v>101</v>
      </c>
      <c r="M20" s="26">
        <v>46</v>
      </c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>
      <c r="A21" s="20" t="s">
        <v>25</v>
      </c>
      <c r="B21" s="12" t="s">
        <v>8</v>
      </c>
      <c r="C21" s="12" t="s">
        <v>8</v>
      </c>
      <c r="D21" s="21">
        <v>10</v>
      </c>
      <c r="E21" s="12">
        <v>70</v>
      </c>
      <c r="F21" s="21">
        <v>546</v>
      </c>
      <c r="G21" s="6"/>
      <c r="H21" s="245"/>
      <c r="I21" s="12" t="s">
        <v>8</v>
      </c>
      <c r="J21" s="12" t="s">
        <v>8</v>
      </c>
      <c r="K21" s="21">
        <v>4</v>
      </c>
      <c r="L21" s="12">
        <v>59</v>
      </c>
      <c r="M21" s="21">
        <v>44</v>
      </c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>
      <c r="A22" s="20" t="s">
        <v>18</v>
      </c>
      <c r="B22" s="25" t="s">
        <v>8</v>
      </c>
      <c r="C22" s="25" t="s">
        <v>8</v>
      </c>
      <c r="D22" s="26">
        <v>0</v>
      </c>
      <c r="E22" s="25">
        <v>0</v>
      </c>
      <c r="F22" s="26">
        <v>0</v>
      </c>
      <c r="G22" s="6"/>
      <c r="H22" s="246"/>
      <c r="I22" s="25" t="s">
        <v>8</v>
      </c>
      <c r="J22" s="25" t="s">
        <v>8</v>
      </c>
      <c r="K22" s="26">
        <v>3</v>
      </c>
      <c r="L22" s="25" t="s">
        <v>8</v>
      </c>
      <c r="M22" s="25" t="s">
        <v>8</v>
      </c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>
      <c r="A23" s="20" t="s">
        <v>12</v>
      </c>
      <c r="B23" s="12" t="s">
        <v>8</v>
      </c>
      <c r="C23" s="12" t="s">
        <v>8</v>
      </c>
      <c r="D23" s="21">
        <v>5</v>
      </c>
      <c r="E23" s="12">
        <v>158</v>
      </c>
      <c r="F23" s="21">
        <v>112</v>
      </c>
      <c r="G23" s="6"/>
      <c r="H23" s="245"/>
      <c r="I23" s="12" t="s">
        <v>8</v>
      </c>
      <c r="J23" s="12" t="s">
        <v>8</v>
      </c>
      <c r="K23" s="21">
        <v>8</v>
      </c>
      <c r="L23" s="12">
        <v>150</v>
      </c>
      <c r="M23" s="21">
        <v>184</v>
      </c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>
      <c r="A24" s="30" t="s">
        <v>19</v>
      </c>
      <c r="B24" s="25" t="s">
        <v>8</v>
      </c>
      <c r="C24" s="25" t="s">
        <v>8</v>
      </c>
      <c r="D24" s="26">
        <v>6</v>
      </c>
      <c r="E24" s="25">
        <v>183</v>
      </c>
      <c r="F24" s="26">
        <v>510</v>
      </c>
      <c r="G24" s="6"/>
      <c r="H24" s="246"/>
      <c r="I24" s="25" t="s">
        <v>8</v>
      </c>
      <c r="J24" s="25" t="s">
        <v>8</v>
      </c>
      <c r="K24" s="26">
        <v>8</v>
      </c>
      <c r="L24" s="25">
        <v>173</v>
      </c>
      <c r="M24" s="26">
        <v>196</v>
      </c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6" t="s">
        <v>80</v>
      </c>
      <c r="B25" s="17" t="s">
        <v>133</v>
      </c>
      <c r="C25" s="18" t="s">
        <v>32</v>
      </c>
      <c r="D25" s="17" t="s">
        <v>31</v>
      </c>
      <c r="E25" s="18" t="s">
        <v>81</v>
      </c>
      <c r="F25" s="18" t="s">
        <v>36</v>
      </c>
      <c r="G25" s="19" t="s">
        <v>35</v>
      </c>
      <c r="H25" s="247"/>
      <c r="I25" s="17" t="s">
        <v>79</v>
      </c>
      <c r="J25" s="18" t="s">
        <v>32</v>
      </c>
      <c r="K25" s="17" t="s">
        <v>31</v>
      </c>
      <c r="L25" s="18" t="s">
        <v>134</v>
      </c>
      <c r="M25" s="18" t="s">
        <v>36</v>
      </c>
      <c r="N25" s="18" t="s">
        <v>35</v>
      </c>
    </row>
    <row r="26" spans="1:26" ht="12.75">
      <c r="A26" s="31" t="s">
        <v>21</v>
      </c>
      <c r="B26" s="21">
        <v>107</v>
      </c>
      <c r="C26" s="12">
        <v>35</v>
      </c>
      <c r="D26" s="21">
        <v>4.5999999999999996</v>
      </c>
      <c r="E26" s="57">
        <v>2.33</v>
      </c>
      <c r="F26" s="33">
        <v>32.71</v>
      </c>
      <c r="G26" s="28">
        <v>9.3749999999999997E-4</v>
      </c>
      <c r="H26" s="245"/>
      <c r="I26" s="26">
        <v>351</v>
      </c>
      <c r="J26" s="12">
        <v>51</v>
      </c>
      <c r="K26" s="21">
        <v>4.2</v>
      </c>
      <c r="L26" s="57">
        <v>3.4</v>
      </c>
      <c r="M26" s="33">
        <v>14.53</v>
      </c>
      <c r="N26" s="9">
        <v>2.2453703703703702E-3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>
      <c r="A27" s="31" t="s">
        <v>24</v>
      </c>
      <c r="B27" s="24">
        <v>46</v>
      </c>
      <c r="C27" s="25">
        <v>24</v>
      </c>
      <c r="D27" s="24">
        <v>4.7</v>
      </c>
      <c r="E27" s="58">
        <v>1.6</v>
      </c>
      <c r="F27" s="32">
        <v>52.17</v>
      </c>
      <c r="G27" s="27">
        <v>1.8518518518518519E-3</v>
      </c>
      <c r="H27" s="246"/>
      <c r="I27" s="26">
        <v>47</v>
      </c>
      <c r="J27" s="25">
        <v>32</v>
      </c>
      <c r="K27" s="59">
        <v>4</v>
      </c>
      <c r="L27" s="58">
        <v>2.13</v>
      </c>
      <c r="M27" s="32">
        <v>68.09</v>
      </c>
      <c r="N27" s="27">
        <v>1.5277777777777779E-3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>
      <c r="A28" s="31" t="s">
        <v>41</v>
      </c>
      <c r="B28" s="24">
        <v>16</v>
      </c>
      <c r="C28" s="12">
        <v>33</v>
      </c>
      <c r="D28" s="21">
        <v>4.5</v>
      </c>
      <c r="E28" s="57">
        <v>2.2000000000000002</v>
      </c>
      <c r="F28" s="33">
        <v>206.25</v>
      </c>
      <c r="G28" s="9">
        <v>1.3888888888888889E-3</v>
      </c>
      <c r="H28" s="245"/>
      <c r="I28" s="26">
        <v>193</v>
      </c>
      <c r="J28" s="12">
        <v>22</v>
      </c>
      <c r="K28" s="21">
        <v>4.4000000000000004</v>
      </c>
      <c r="L28" s="57">
        <v>1.47</v>
      </c>
      <c r="M28" s="33">
        <v>11.4</v>
      </c>
      <c r="N28" s="9">
        <v>1.238425925925926E-3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>
      <c r="A29" s="31" t="s">
        <v>135</v>
      </c>
      <c r="B29" s="24">
        <v>91</v>
      </c>
      <c r="C29" s="25">
        <v>50</v>
      </c>
      <c r="D29" s="26">
        <v>4.2</v>
      </c>
      <c r="E29" s="58">
        <v>3.33</v>
      </c>
      <c r="F29" s="32">
        <v>54.95</v>
      </c>
      <c r="G29" s="27">
        <v>2.3032407407407407E-3</v>
      </c>
      <c r="H29" s="246"/>
      <c r="I29" s="26">
        <v>134</v>
      </c>
      <c r="J29" s="25">
        <v>36</v>
      </c>
      <c r="K29" s="26">
        <v>4.2</v>
      </c>
      <c r="L29" s="58">
        <v>2.4</v>
      </c>
      <c r="M29" s="32">
        <v>26.87</v>
      </c>
      <c r="N29" s="27">
        <v>2.6157407407407405E-3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>
      <c r="A30" s="31" t="s">
        <v>86</v>
      </c>
      <c r="B30" s="24">
        <v>31</v>
      </c>
      <c r="C30" s="12">
        <v>15</v>
      </c>
      <c r="D30" s="21">
        <v>4.4000000000000004</v>
      </c>
      <c r="E30" s="57">
        <v>1</v>
      </c>
      <c r="F30" s="33">
        <v>48.39</v>
      </c>
      <c r="G30" s="9">
        <v>2.7430555555555554E-3</v>
      </c>
      <c r="H30" s="245"/>
      <c r="I30" s="26">
        <v>81</v>
      </c>
      <c r="J30" s="12">
        <v>25</v>
      </c>
      <c r="K30" s="21">
        <v>4.3</v>
      </c>
      <c r="L30" s="57">
        <v>1.67</v>
      </c>
      <c r="M30" s="33">
        <v>30.86</v>
      </c>
      <c r="N30" s="9">
        <v>2.4074074074074076E-3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>
      <c r="A31" s="31" t="s">
        <v>87</v>
      </c>
      <c r="B31" s="34">
        <v>49</v>
      </c>
      <c r="C31" s="25">
        <v>59</v>
      </c>
      <c r="D31" s="26">
        <v>4.5999999999999996</v>
      </c>
      <c r="E31" s="58">
        <v>3.93</v>
      </c>
      <c r="F31" s="32">
        <v>120.41</v>
      </c>
      <c r="G31" s="27">
        <v>5.0231481481481481E-3</v>
      </c>
      <c r="H31" s="246"/>
      <c r="I31" s="35">
        <v>13</v>
      </c>
      <c r="J31" s="25">
        <v>1</v>
      </c>
      <c r="K31" s="26">
        <v>4.5999999999999996</v>
      </c>
      <c r="L31" s="58">
        <v>7.0000000000000007E-2</v>
      </c>
      <c r="M31" s="32">
        <v>7.69</v>
      </c>
      <c r="N31" s="27">
        <v>1.1805555555555556E-3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>
      <c r="A32" s="31" t="s">
        <v>23</v>
      </c>
      <c r="B32" s="24">
        <v>8</v>
      </c>
      <c r="C32" s="12">
        <v>7</v>
      </c>
      <c r="D32" s="21">
        <v>4.5999999999999996</v>
      </c>
      <c r="E32" s="57">
        <v>0.47</v>
      </c>
      <c r="F32" s="33">
        <v>87.5</v>
      </c>
      <c r="G32" s="9">
        <v>1.3773148148148147E-3</v>
      </c>
      <c r="H32" s="245"/>
      <c r="I32" s="26">
        <v>34</v>
      </c>
      <c r="J32" s="12">
        <v>5</v>
      </c>
      <c r="K32" s="21">
        <v>4.5</v>
      </c>
      <c r="L32" s="57">
        <v>0.33</v>
      </c>
      <c r="M32" s="33">
        <v>14.71</v>
      </c>
      <c r="N32" s="9">
        <v>3.6805555555555554E-3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9" ht="12.75">
      <c r="A33" s="31" t="s">
        <v>29</v>
      </c>
      <c r="B33" s="24">
        <v>5</v>
      </c>
      <c r="C33" s="25">
        <v>39</v>
      </c>
      <c r="D33" s="26">
        <v>0</v>
      </c>
      <c r="E33" s="58">
        <v>2.6</v>
      </c>
      <c r="F33" s="32">
        <v>780</v>
      </c>
      <c r="G33" s="27">
        <v>6.3194444444444444E-3</v>
      </c>
      <c r="H33" s="246"/>
      <c r="I33" s="26">
        <v>2</v>
      </c>
      <c r="J33" s="25">
        <v>20</v>
      </c>
      <c r="K33" s="26">
        <v>3.7</v>
      </c>
      <c r="L33" s="58">
        <v>1.33</v>
      </c>
      <c r="M33" s="32">
        <v>1000</v>
      </c>
      <c r="N33" s="60">
        <v>5.8217592592592592E-3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9" ht="12.75">
      <c r="A34" s="31" t="s">
        <v>28</v>
      </c>
      <c r="B34" s="24">
        <v>6</v>
      </c>
      <c r="C34" s="36">
        <v>24</v>
      </c>
      <c r="D34" s="21">
        <v>4.5999999999999996</v>
      </c>
      <c r="E34" s="57">
        <v>1.6</v>
      </c>
      <c r="F34" s="33">
        <v>400</v>
      </c>
      <c r="G34" s="9">
        <v>3.6458333333333334E-3</v>
      </c>
      <c r="H34" s="245"/>
      <c r="I34" s="21">
        <v>0</v>
      </c>
      <c r="J34" s="12">
        <v>77</v>
      </c>
      <c r="K34" s="21">
        <v>3.7</v>
      </c>
      <c r="L34" s="57">
        <v>5.13</v>
      </c>
      <c r="M34" s="21" t="s">
        <v>8</v>
      </c>
      <c r="N34" s="9">
        <v>6.018518518518519E-4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2.75">
      <c r="A35" s="31" t="s">
        <v>88</v>
      </c>
      <c r="B35" s="24">
        <v>24</v>
      </c>
      <c r="C35" s="25">
        <v>31</v>
      </c>
      <c r="D35" s="26">
        <v>4.3</v>
      </c>
      <c r="E35" s="58">
        <v>2.0699999999999998</v>
      </c>
      <c r="F35" s="32">
        <v>129.16999999999999</v>
      </c>
      <c r="G35" s="27">
        <v>1.3888888888888889E-3</v>
      </c>
      <c r="H35" s="246"/>
      <c r="I35" s="26">
        <v>32</v>
      </c>
      <c r="J35" s="25">
        <v>38</v>
      </c>
      <c r="K35" s="26">
        <v>4.3</v>
      </c>
      <c r="L35" s="58">
        <v>2.5299999999999998</v>
      </c>
      <c r="M35" s="32">
        <v>118.75</v>
      </c>
      <c r="N35" s="27">
        <v>1.2152777777777778E-3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2.75">
      <c r="A36" s="31" t="s">
        <v>22</v>
      </c>
      <c r="B36" s="24">
        <v>66</v>
      </c>
      <c r="C36" s="12">
        <v>22</v>
      </c>
      <c r="D36" s="21">
        <v>4.4000000000000004</v>
      </c>
      <c r="E36" s="57">
        <v>1.47</v>
      </c>
      <c r="F36" s="33">
        <v>33.33</v>
      </c>
      <c r="G36" s="9">
        <v>5.3240740740740744E-4</v>
      </c>
      <c r="H36" s="245"/>
      <c r="I36" s="26">
        <v>244</v>
      </c>
      <c r="J36" s="12">
        <v>42</v>
      </c>
      <c r="K36" s="21">
        <v>4.5</v>
      </c>
      <c r="L36" s="57">
        <v>2.8</v>
      </c>
      <c r="M36" s="33">
        <v>17.21</v>
      </c>
      <c r="N36" s="60">
        <v>3.7847222222222223E-3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2.75">
      <c r="A37" s="31" t="s">
        <v>39</v>
      </c>
      <c r="B37" s="24">
        <v>48</v>
      </c>
      <c r="C37" s="25">
        <v>45</v>
      </c>
      <c r="D37" s="26">
        <v>4.5</v>
      </c>
      <c r="E37" s="58">
        <v>3</v>
      </c>
      <c r="F37" s="32">
        <v>93.75</v>
      </c>
      <c r="G37" s="27">
        <v>7.407407407407407E-4</v>
      </c>
      <c r="H37" s="246"/>
      <c r="I37" s="26">
        <v>59</v>
      </c>
      <c r="J37" s="25">
        <v>51</v>
      </c>
      <c r="K37" s="26">
        <v>4.5999999999999996</v>
      </c>
      <c r="L37" s="58">
        <v>3.4</v>
      </c>
      <c r="M37" s="32">
        <v>86.44</v>
      </c>
      <c r="N37" s="60">
        <v>6.7592592592592591E-3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2.75">
      <c r="A38" s="31" t="s">
        <v>90</v>
      </c>
      <c r="B38" s="24">
        <v>51</v>
      </c>
      <c r="C38" s="12">
        <v>69</v>
      </c>
      <c r="D38" s="21">
        <v>4.5999999999999996</v>
      </c>
      <c r="E38" s="57">
        <v>4.5999999999999996</v>
      </c>
      <c r="F38" s="33">
        <v>135.29</v>
      </c>
      <c r="G38" s="9">
        <v>1.2847222222222223E-3</v>
      </c>
      <c r="H38" s="245"/>
      <c r="I38" s="24">
        <v>325</v>
      </c>
      <c r="J38" s="12">
        <v>53</v>
      </c>
      <c r="K38" s="21">
        <v>4.3</v>
      </c>
      <c r="L38" s="57">
        <v>3.53</v>
      </c>
      <c r="M38" s="33">
        <v>16.309999999999999</v>
      </c>
      <c r="N38" s="9">
        <v>1.8981481481481482E-3</v>
      </c>
      <c r="O38" s="7"/>
      <c r="P38" s="31" t="s">
        <v>135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2.75">
      <c r="A39" s="31" t="s">
        <v>136</v>
      </c>
      <c r="B39" s="24">
        <v>33</v>
      </c>
      <c r="C39" s="36">
        <v>29</v>
      </c>
      <c r="D39" s="26">
        <v>4.4000000000000004</v>
      </c>
      <c r="E39" s="58">
        <v>1.93</v>
      </c>
      <c r="F39" s="32">
        <v>87.88</v>
      </c>
      <c r="G39" s="27">
        <v>2.6157407407407405E-3</v>
      </c>
      <c r="H39" s="246"/>
      <c r="I39" s="26">
        <v>60</v>
      </c>
      <c r="J39" s="25">
        <v>44</v>
      </c>
      <c r="K39" s="26">
        <v>4.3</v>
      </c>
      <c r="L39" s="58">
        <v>2.93</v>
      </c>
      <c r="M39" s="32">
        <v>73.33</v>
      </c>
      <c r="N39" s="60">
        <v>4.6412037037037038E-3</v>
      </c>
      <c r="O39" s="7"/>
      <c r="P39" s="31" t="s">
        <v>41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2.75">
      <c r="A40" s="31" t="s">
        <v>40</v>
      </c>
      <c r="B40" s="24">
        <v>69</v>
      </c>
      <c r="C40" s="12">
        <v>29</v>
      </c>
      <c r="D40" s="21">
        <v>4.5999999999999996</v>
      </c>
      <c r="E40" s="57">
        <v>1.93</v>
      </c>
      <c r="F40" s="33">
        <v>42.03</v>
      </c>
      <c r="G40" s="9">
        <v>1.736111111111111E-3</v>
      </c>
      <c r="H40" s="245"/>
      <c r="I40" s="26">
        <v>217</v>
      </c>
      <c r="J40" s="12">
        <v>27</v>
      </c>
      <c r="K40" s="21">
        <v>4.3</v>
      </c>
      <c r="L40" s="57">
        <v>1.8</v>
      </c>
      <c r="M40" s="33">
        <v>12.44</v>
      </c>
      <c r="N40" s="9">
        <v>1.2037037037037038E-3</v>
      </c>
      <c r="O40" s="7"/>
      <c r="P40" s="31" t="s">
        <v>23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2.75">
      <c r="A41" s="31" t="s">
        <v>137</v>
      </c>
      <c r="B41" s="25">
        <v>0</v>
      </c>
      <c r="C41" s="25">
        <v>0</v>
      </c>
      <c r="D41" s="25">
        <v>0</v>
      </c>
      <c r="E41" s="25">
        <v>0</v>
      </c>
      <c r="F41" s="26">
        <v>0</v>
      </c>
      <c r="G41" s="25">
        <v>0</v>
      </c>
      <c r="H41" s="246"/>
      <c r="I41" s="26">
        <v>18</v>
      </c>
      <c r="J41" s="25">
        <v>7</v>
      </c>
      <c r="K41" s="26">
        <v>4.4000000000000004</v>
      </c>
      <c r="L41" s="58">
        <v>0.47</v>
      </c>
      <c r="M41" s="32">
        <v>38.89</v>
      </c>
      <c r="N41" s="27">
        <v>1.9444444444444444E-3</v>
      </c>
      <c r="O41" s="7"/>
      <c r="P41" s="31" t="s">
        <v>39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2.75">
      <c r="A42" s="31" t="s">
        <v>93</v>
      </c>
      <c r="B42" s="24">
        <v>0</v>
      </c>
      <c r="C42" s="12">
        <v>29</v>
      </c>
      <c r="D42" s="21">
        <v>4.4000000000000004</v>
      </c>
      <c r="E42" s="57">
        <v>1.93</v>
      </c>
      <c r="F42" s="21">
        <v>0</v>
      </c>
      <c r="G42" s="9">
        <v>4.4444444444444444E-3</v>
      </c>
      <c r="H42" s="245"/>
      <c r="I42" s="26">
        <v>21</v>
      </c>
      <c r="J42" s="12">
        <v>44</v>
      </c>
      <c r="K42" s="21">
        <v>4.3</v>
      </c>
      <c r="L42" s="57">
        <v>2.93</v>
      </c>
      <c r="M42" s="33">
        <v>209.52</v>
      </c>
      <c r="N42" s="60">
        <v>4.0162037037037041E-3</v>
      </c>
      <c r="O42" s="7"/>
      <c r="P42" s="31" t="s">
        <v>38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2.75">
      <c r="A43" s="31" t="s">
        <v>138</v>
      </c>
      <c r="B43" s="24">
        <v>6</v>
      </c>
      <c r="C43" s="36">
        <v>16</v>
      </c>
      <c r="D43" s="24">
        <v>4.7</v>
      </c>
      <c r="E43" s="58">
        <v>1.07</v>
      </c>
      <c r="F43" s="32">
        <v>266.67</v>
      </c>
      <c r="G43" s="61">
        <v>1.8402777777777777E-3</v>
      </c>
      <c r="H43" s="246"/>
      <c r="I43" s="26">
        <v>24</v>
      </c>
      <c r="J43" s="25">
        <v>1</v>
      </c>
      <c r="K43" s="26">
        <v>3.9</v>
      </c>
      <c r="L43" s="58">
        <v>7.0000000000000007E-2</v>
      </c>
      <c r="M43" s="32">
        <v>4.17</v>
      </c>
      <c r="N43" s="27">
        <v>1.4467592592592592E-3</v>
      </c>
      <c r="O43" s="7"/>
      <c r="P43" s="31" t="s">
        <v>42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2.75">
      <c r="A44" s="31" t="s">
        <v>20</v>
      </c>
      <c r="B44" s="24">
        <v>66</v>
      </c>
      <c r="C44" s="12">
        <v>58</v>
      </c>
      <c r="D44" s="21">
        <v>4.5</v>
      </c>
      <c r="E44" s="57">
        <v>3.87</v>
      </c>
      <c r="F44" s="33">
        <v>87.88</v>
      </c>
      <c r="G44" s="9">
        <v>2.0833333333333333E-3</v>
      </c>
      <c r="H44" s="245"/>
      <c r="I44" s="24">
        <v>82</v>
      </c>
      <c r="J44" s="12">
        <v>56</v>
      </c>
      <c r="K44" s="21">
        <v>4.5</v>
      </c>
      <c r="L44" s="57">
        <v>3.73</v>
      </c>
      <c r="M44" s="33">
        <v>68.290000000000006</v>
      </c>
      <c r="N44" s="9">
        <v>1.6087962962962963E-3</v>
      </c>
      <c r="O44" s="7"/>
      <c r="P44" s="31" t="s">
        <v>40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2.75">
      <c r="A45" s="31" t="s">
        <v>27</v>
      </c>
      <c r="B45" s="24">
        <v>51</v>
      </c>
      <c r="C45" s="25">
        <v>39</v>
      </c>
      <c r="D45" s="26">
        <v>4.5999999999999996</v>
      </c>
      <c r="E45" s="58">
        <v>2.6</v>
      </c>
      <c r="F45" s="32">
        <v>76.47</v>
      </c>
      <c r="G45" s="27">
        <v>4.6064814814814814E-3</v>
      </c>
      <c r="H45" s="246"/>
      <c r="I45" s="26">
        <v>72</v>
      </c>
      <c r="J45" s="25">
        <v>28</v>
      </c>
      <c r="K45" s="26">
        <v>4.5999999999999996</v>
      </c>
      <c r="L45" s="58">
        <v>1.87</v>
      </c>
      <c r="M45" s="32">
        <v>38.89</v>
      </c>
      <c r="N45" s="27">
        <v>3.1134259259259257E-3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2.75">
      <c r="A46" s="31" t="s">
        <v>38</v>
      </c>
      <c r="B46" s="24">
        <v>88</v>
      </c>
      <c r="C46" s="12">
        <v>41</v>
      </c>
      <c r="D46" s="21">
        <v>4.2</v>
      </c>
      <c r="E46" s="57">
        <v>2.73</v>
      </c>
      <c r="F46" s="33">
        <v>46.59</v>
      </c>
      <c r="G46" s="9">
        <v>2.6041666666666665E-3</v>
      </c>
      <c r="H46" s="245"/>
      <c r="I46" s="26">
        <v>306</v>
      </c>
      <c r="J46" s="12">
        <v>28</v>
      </c>
      <c r="K46" s="21">
        <v>4.3</v>
      </c>
      <c r="L46" s="57">
        <v>1.87</v>
      </c>
      <c r="M46" s="33">
        <v>9.15</v>
      </c>
      <c r="N46" s="9">
        <v>2.2800925925925927E-3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2.75">
      <c r="A47" s="31" t="s">
        <v>96</v>
      </c>
      <c r="B47" s="24">
        <v>69</v>
      </c>
      <c r="C47" s="25">
        <v>29</v>
      </c>
      <c r="D47" s="26">
        <v>4.5</v>
      </c>
      <c r="E47" s="58">
        <v>1.93</v>
      </c>
      <c r="F47" s="32">
        <v>42.03</v>
      </c>
      <c r="G47" s="27">
        <v>3.0902777777777777E-3</v>
      </c>
      <c r="H47" s="246"/>
      <c r="I47" s="26">
        <v>153</v>
      </c>
      <c r="J47" s="25">
        <v>41</v>
      </c>
      <c r="K47" s="26">
        <v>4.0999999999999996</v>
      </c>
      <c r="L47" s="58">
        <v>2.73</v>
      </c>
      <c r="M47" s="32">
        <v>26.8</v>
      </c>
      <c r="N47" s="27">
        <v>3.6921296296296298E-3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2.75">
      <c r="A48" s="31" t="s">
        <v>139</v>
      </c>
      <c r="B48" s="24">
        <v>52</v>
      </c>
      <c r="C48" s="36">
        <v>11</v>
      </c>
      <c r="D48" s="21">
        <v>4.2</v>
      </c>
      <c r="E48" s="57">
        <v>0.73</v>
      </c>
      <c r="F48" s="33">
        <v>21.15</v>
      </c>
      <c r="G48" s="61">
        <v>2.8240740740740739E-3</v>
      </c>
      <c r="H48" s="245"/>
      <c r="I48" s="26">
        <v>118</v>
      </c>
      <c r="J48" s="12">
        <v>15</v>
      </c>
      <c r="K48" s="21">
        <v>3.5</v>
      </c>
      <c r="L48" s="57">
        <v>1</v>
      </c>
      <c r="M48" s="33">
        <v>12.71</v>
      </c>
      <c r="N48" s="9">
        <v>3.4027777777777776E-3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2.75">
      <c r="A49" s="31" t="s">
        <v>42</v>
      </c>
      <c r="B49" s="37" t="s">
        <v>140</v>
      </c>
      <c r="C49" s="25">
        <v>61</v>
      </c>
      <c r="D49" s="26">
        <v>4.5999999999999996</v>
      </c>
      <c r="E49" s="58">
        <v>4.07</v>
      </c>
      <c r="F49" s="32">
        <v>40.67</v>
      </c>
      <c r="G49" s="27">
        <v>1.1226851851851851E-3</v>
      </c>
      <c r="H49" s="248"/>
      <c r="I49" s="26">
        <v>192</v>
      </c>
      <c r="J49" s="25">
        <v>36</v>
      </c>
      <c r="K49" s="26">
        <v>4.3</v>
      </c>
      <c r="L49" s="58">
        <v>2.4</v>
      </c>
      <c r="M49" s="32">
        <v>18.75</v>
      </c>
      <c r="N49" s="27">
        <v>8.1018518518518516E-4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2.75">
      <c r="A50" s="6"/>
      <c r="B50" s="38" t="s">
        <v>141</v>
      </c>
      <c r="C50" s="38" t="s">
        <v>142</v>
      </c>
      <c r="D50" s="38">
        <f t="shared" ref="D50:E50" si="0">AVERAGEIF(D26:D49,"&gt;0")</f>
        <v>4.4863636363636363</v>
      </c>
      <c r="E50" s="38">
        <f t="shared" si="0"/>
        <v>2.3039130434782606</v>
      </c>
      <c r="F50" s="6"/>
      <c r="G50" s="38" t="s">
        <v>143</v>
      </c>
      <c r="H50" s="6"/>
      <c r="I50" s="38" t="s">
        <v>144</v>
      </c>
      <c r="J50" s="38" t="s">
        <v>145</v>
      </c>
      <c r="K50" s="38">
        <f t="shared" ref="K50:L50" si="1">AVERAGEIF(K26:K49,"&gt;0")</f>
        <v>4.2416666666666663</v>
      </c>
      <c r="L50" s="38">
        <f t="shared" si="1"/>
        <v>2.1662499999999993</v>
      </c>
      <c r="M50" s="6"/>
      <c r="N50" s="38" t="s">
        <v>146</v>
      </c>
      <c r="O50" s="7"/>
    </row>
    <row r="51" spans="1:29" ht="12.7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7"/>
    </row>
    <row r="52" spans="1:29" ht="18.75">
      <c r="A52" s="42" t="s">
        <v>110</v>
      </c>
      <c r="B52" s="43" t="s">
        <v>0</v>
      </c>
      <c r="C52" s="43" t="s">
        <v>5</v>
      </c>
      <c r="D52" s="43" t="s">
        <v>6</v>
      </c>
      <c r="E52" s="43" t="s">
        <v>17</v>
      </c>
      <c r="F52" s="43" t="s">
        <v>16</v>
      </c>
      <c r="G52" s="43" t="s">
        <v>1</v>
      </c>
      <c r="H52" s="43"/>
      <c r="I52" s="43" t="s">
        <v>2</v>
      </c>
      <c r="J52" s="43" t="s">
        <v>7</v>
      </c>
      <c r="K52" s="43" t="s">
        <v>4</v>
      </c>
      <c r="L52" s="43" t="s">
        <v>3</v>
      </c>
      <c r="M52" s="6"/>
      <c r="N52" s="6"/>
      <c r="O52" s="7"/>
    </row>
    <row r="53" spans="1:29" ht="18.75">
      <c r="A53" s="42" t="s">
        <v>111</v>
      </c>
      <c r="B53" s="2">
        <v>17401</v>
      </c>
      <c r="C53" s="2">
        <v>8944</v>
      </c>
      <c r="D53" s="2">
        <v>7331</v>
      </c>
      <c r="E53" s="44">
        <v>4356</v>
      </c>
      <c r="F53" s="2">
        <v>8024</v>
      </c>
      <c r="G53" s="2">
        <v>4668</v>
      </c>
      <c r="H53" s="2"/>
      <c r="I53" s="2">
        <v>5971</v>
      </c>
      <c r="J53" s="2"/>
      <c r="K53" s="2">
        <v>6261</v>
      </c>
      <c r="L53" s="2">
        <v>5720</v>
      </c>
      <c r="M53" s="39"/>
      <c r="N53" s="39"/>
      <c r="O53" s="7"/>
    </row>
    <row r="54" spans="1:29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/>
    </row>
    <row r="55" spans="1:29" ht="12.75">
      <c r="A55" s="62" t="s">
        <v>147</v>
      </c>
      <c r="B55" s="62" t="s">
        <v>148</v>
      </c>
      <c r="C55" s="62" t="s">
        <v>149</v>
      </c>
      <c r="D55" s="39" t="s">
        <v>150</v>
      </c>
      <c r="E55" s="39" t="s">
        <v>151</v>
      </c>
      <c r="F55" s="39"/>
      <c r="G55" s="39"/>
      <c r="H55" s="39"/>
      <c r="I55" s="39"/>
      <c r="J55" s="39"/>
      <c r="K55" s="39"/>
      <c r="L55" s="39"/>
      <c r="M55" s="39"/>
      <c r="N55" s="3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2.75">
      <c r="A56" s="63" t="s">
        <v>152</v>
      </c>
      <c r="B56" s="64">
        <v>45885</v>
      </c>
      <c r="C56" s="65" t="s">
        <v>153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2.75">
      <c r="A57" s="66" t="s">
        <v>154</v>
      </c>
      <c r="B57" s="67">
        <v>45886</v>
      </c>
      <c r="C57" s="68" t="s">
        <v>155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2.75">
      <c r="A58" s="69" t="s">
        <v>156</v>
      </c>
      <c r="B58" s="64">
        <v>45887</v>
      </c>
      <c r="C58" s="70" t="s">
        <v>155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2.75">
      <c r="A59" s="66" t="s">
        <v>157</v>
      </c>
      <c r="B59" s="67">
        <v>45889</v>
      </c>
      <c r="C59" s="71" t="s">
        <v>158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2.75">
      <c r="A60" s="63" t="s">
        <v>159</v>
      </c>
      <c r="B60" s="64">
        <v>45889</v>
      </c>
      <c r="C60" s="65" t="s">
        <v>160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2.75">
      <c r="A61" s="66" t="s">
        <v>161</v>
      </c>
      <c r="B61" s="67">
        <v>45889</v>
      </c>
      <c r="C61" s="71" t="s">
        <v>162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2.75">
      <c r="A62" s="63" t="s">
        <v>163</v>
      </c>
      <c r="B62" s="64">
        <v>45890</v>
      </c>
      <c r="C62" s="65" t="s">
        <v>164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2.75">
      <c r="A63" s="66" t="s">
        <v>165</v>
      </c>
      <c r="B63" s="67">
        <v>45894</v>
      </c>
      <c r="C63" s="71" t="s">
        <v>162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2.75">
      <c r="A64" s="72" t="s">
        <v>166</v>
      </c>
      <c r="B64" s="64">
        <v>45897</v>
      </c>
      <c r="C64" s="65" t="s">
        <v>167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2.75">
      <c r="A65" s="73" t="s">
        <v>168</v>
      </c>
      <c r="B65" s="67">
        <v>45897</v>
      </c>
      <c r="C65" s="71" t="s">
        <v>169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2.75">
      <c r="A66" s="74" t="s">
        <v>170</v>
      </c>
      <c r="B66" s="64">
        <v>45898</v>
      </c>
      <c r="C66" s="65" t="s">
        <v>171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">
      <c r="A67" s="75" t="s">
        <v>172</v>
      </c>
      <c r="B67" s="67">
        <v>45898</v>
      </c>
      <c r="C67" s="76" t="s">
        <v>173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">
      <c r="A68" s="77" t="s">
        <v>174</v>
      </c>
      <c r="B68" s="64">
        <v>45900</v>
      </c>
      <c r="C68" s="78" t="s">
        <v>175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2.7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2.7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2.7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2.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2.7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2.7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2.7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2.7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2.7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2.7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2.7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2.7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2.7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2.7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2.7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2.7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2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2.7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2.7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2.7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2.7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2.7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2.7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2.7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2.7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2.7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2.7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2.7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2.7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2.7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2.7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2.7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2.7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2.7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2.7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2.7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2.7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2.7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2.7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2.7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2.7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2.7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2.7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2.7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2.7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2.7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2.7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2.7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2.7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2.7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2.7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2.7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2.7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2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2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2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2.7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2.7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2.7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2.7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2.7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2.7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2.7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2.7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2.7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2.7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2.7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2.7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2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2.7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2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2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2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2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2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2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2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2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2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2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</sheetData>
  <mergeCells count="35">
    <mergeCell ref="B1:C1"/>
    <mergeCell ref="D1:E1"/>
    <mergeCell ref="B2:C2"/>
    <mergeCell ref="D2:E2"/>
    <mergeCell ref="B3:C3"/>
    <mergeCell ref="D3:E3"/>
    <mergeCell ref="D4:E4"/>
    <mergeCell ref="B11:C11"/>
    <mergeCell ref="B12:C12"/>
    <mergeCell ref="B13:C13"/>
    <mergeCell ref="B14:C14"/>
    <mergeCell ref="D12:E12"/>
    <mergeCell ref="D13:E13"/>
    <mergeCell ref="D14:E14"/>
    <mergeCell ref="B15:C15"/>
    <mergeCell ref="B16:C16"/>
    <mergeCell ref="B17:C17"/>
    <mergeCell ref="B4:C4"/>
    <mergeCell ref="B5:C5"/>
    <mergeCell ref="B6:C6"/>
    <mergeCell ref="B7:C7"/>
    <mergeCell ref="B8:C8"/>
    <mergeCell ref="B9:C9"/>
    <mergeCell ref="B10:C10"/>
    <mergeCell ref="D15:E15"/>
    <mergeCell ref="D16:E16"/>
    <mergeCell ref="D17:E17"/>
    <mergeCell ref="H18:H49"/>
    <mergeCell ref="D5:E5"/>
    <mergeCell ref="D6:E6"/>
    <mergeCell ref="D7:E7"/>
    <mergeCell ref="D8:E8"/>
    <mergeCell ref="D9:E9"/>
    <mergeCell ref="D10:E10"/>
    <mergeCell ref="D11:E11"/>
  </mergeCells>
  <conditionalFormatting sqref="G2:G8 I2:I8">
    <cfRule type="notContainsBlanks" dxfId="8" priority="1">
      <formula>LEN(TRIM(G2))&gt;0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62"/>
  <sheetViews>
    <sheetView workbookViewId="0"/>
  </sheetViews>
  <sheetFormatPr defaultColWidth="12.5703125" defaultRowHeight="15.75" customHeight="1"/>
  <cols>
    <col min="1" max="1" width="72.7109375" customWidth="1"/>
    <col min="2" max="2" width="16.28515625" customWidth="1"/>
    <col min="3" max="3" width="25.85546875" customWidth="1"/>
    <col min="4" max="4" width="32.42578125" customWidth="1"/>
    <col min="5" max="5" width="23.85546875" customWidth="1"/>
    <col min="6" max="6" width="14.85546875" customWidth="1"/>
    <col min="7" max="7" width="14.5703125" customWidth="1"/>
    <col min="8" max="8" width="21.42578125" customWidth="1"/>
    <col min="9" max="9" width="14.7109375" customWidth="1"/>
    <col min="10" max="10" width="13.28515625" customWidth="1"/>
    <col min="11" max="11" width="12.7109375" customWidth="1"/>
    <col min="12" max="12" width="15" customWidth="1"/>
    <col min="13" max="13" width="14" customWidth="1"/>
    <col min="14" max="14" width="14.85546875" customWidth="1"/>
  </cols>
  <sheetData>
    <row r="1" spans="1:23" ht="26.25">
      <c r="A1" s="4" t="s">
        <v>176</v>
      </c>
      <c r="B1" s="252" t="s">
        <v>177</v>
      </c>
      <c r="C1" s="253"/>
      <c r="D1" s="252" t="s">
        <v>178</v>
      </c>
      <c r="E1" s="253"/>
      <c r="F1" s="5" t="s">
        <v>15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7.25" customHeight="1">
      <c r="A2" s="8" t="s">
        <v>179</v>
      </c>
      <c r="B2" s="257">
        <v>4.0011574074074074E-2</v>
      </c>
      <c r="C2" s="243"/>
      <c r="D2" s="257">
        <v>4.5127314814814815E-2</v>
      </c>
      <c r="E2" s="243"/>
      <c r="F2" s="46">
        <v>4.2569444444444444E-2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>
      <c r="A3" s="8" t="s">
        <v>180</v>
      </c>
      <c r="B3" s="257">
        <v>5.4166666666666669E-3</v>
      </c>
      <c r="C3" s="243"/>
      <c r="D3" s="257">
        <v>2.2916666666666667E-3</v>
      </c>
      <c r="E3" s="243"/>
      <c r="F3" s="46">
        <v>3.8541666666666668E-3</v>
      </c>
      <c r="G3" s="7"/>
      <c r="H3" s="7"/>
      <c r="I3" s="7"/>
      <c r="J3" s="7"/>
      <c r="K3" s="7"/>
      <c r="L3" s="7"/>
      <c r="M3" s="7"/>
      <c r="N3" s="7"/>
      <c r="O3" s="47" t="s">
        <v>47</v>
      </c>
      <c r="P3" s="7" t="s">
        <v>48</v>
      </c>
      <c r="Q3" s="7"/>
      <c r="R3" s="7"/>
      <c r="S3" s="7"/>
      <c r="T3" s="7"/>
      <c r="U3" s="7"/>
      <c r="V3" s="7"/>
      <c r="W3" s="7"/>
    </row>
    <row r="4" spans="1:23">
      <c r="A4" s="8" t="s">
        <v>181</v>
      </c>
      <c r="B4" s="257">
        <v>4.6180555555555558E-3</v>
      </c>
      <c r="C4" s="243"/>
      <c r="D4" s="257">
        <v>4.1203703703703706E-3</v>
      </c>
      <c r="E4" s="243"/>
      <c r="F4" s="46">
        <v>4.3750000000000004E-3</v>
      </c>
      <c r="G4" s="7"/>
      <c r="H4" s="7"/>
      <c r="I4" s="7"/>
      <c r="J4" s="7"/>
      <c r="K4" s="7"/>
      <c r="L4" s="7"/>
      <c r="M4" s="7"/>
      <c r="N4" s="7"/>
      <c r="O4" s="48" t="s">
        <v>50</v>
      </c>
      <c r="P4" s="7" t="s">
        <v>51</v>
      </c>
      <c r="Q4" s="7"/>
      <c r="R4" s="7"/>
      <c r="S4" s="7"/>
      <c r="T4" s="7"/>
      <c r="U4" s="7"/>
      <c r="V4" s="7"/>
      <c r="W4" s="7"/>
    </row>
    <row r="5" spans="1:23">
      <c r="A5" s="8" t="s">
        <v>182</v>
      </c>
      <c r="B5" s="257">
        <v>3.3333333333333335E-3</v>
      </c>
      <c r="C5" s="243"/>
      <c r="D5" s="257">
        <v>3.1134259259259257E-3</v>
      </c>
      <c r="E5" s="243"/>
      <c r="F5" s="46">
        <v>3.2291666666666666E-3</v>
      </c>
      <c r="G5" s="7"/>
      <c r="H5" s="7"/>
      <c r="I5" s="7"/>
      <c r="J5" s="7"/>
      <c r="K5" s="7"/>
      <c r="L5" s="7"/>
      <c r="M5" s="7"/>
      <c r="N5" s="7"/>
      <c r="O5" s="49" t="s">
        <v>53</v>
      </c>
      <c r="P5" s="7" t="s">
        <v>54</v>
      </c>
      <c r="Q5" s="7"/>
      <c r="R5" s="7"/>
      <c r="S5" s="7"/>
      <c r="T5" s="7"/>
      <c r="U5" s="7"/>
      <c r="V5" s="7"/>
      <c r="W5" s="7"/>
    </row>
    <row r="6" spans="1:23">
      <c r="A6" s="8" t="s">
        <v>183</v>
      </c>
      <c r="B6" s="256" t="s">
        <v>184</v>
      </c>
      <c r="C6" s="243"/>
      <c r="D6" s="256" t="s">
        <v>185</v>
      </c>
      <c r="E6" s="243"/>
      <c r="F6" s="51" t="s">
        <v>185</v>
      </c>
      <c r="G6" s="7"/>
      <c r="H6" s="7"/>
      <c r="I6" s="7"/>
      <c r="J6" s="7"/>
      <c r="K6" s="7"/>
      <c r="L6" s="7"/>
      <c r="M6" s="7"/>
      <c r="N6" s="7"/>
      <c r="O6" s="52" t="s">
        <v>56</v>
      </c>
      <c r="P6" s="7" t="s">
        <v>57</v>
      </c>
      <c r="Q6" s="7"/>
      <c r="R6" s="7"/>
      <c r="S6" s="7"/>
      <c r="T6" s="7"/>
      <c r="U6" s="7"/>
      <c r="V6" s="7"/>
      <c r="W6" s="7"/>
    </row>
    <row r="7" spans="1:23">
      <c r="A7" s="8" t="s">
        <v>186</v>
      </c>
      <c r="B7" s="256">
        <v>390</v>
      </c>
      <c r="C7" s="243"/>
      <c r="D7" s="256">
        <v>598</v>
      </c>
      <c r="E7" s="243"/>
      <c r="F7" s="51">
        <v>988</v>
      </c>
      <c r="G7" s="7"/>
      <c r="H7" s="7"/>
      <c r="I7" s="7"/>
      <c r="J7" s="7"/>
      <c r="K7" s="7"/>
      <c r="L7" s="7"/>
      <c r="M7" s="7"/>
      <c r="N7" s="7"/>
      <c r="O7" s="52"/>
      <c r="P7" s="7"/>
      <c r="Q7" s="7"/>
      <c r="R7" s="7"/>
      <c r="S7" s="7"/>
      <c r="T7" s="7"/>
      <c r="U7" s="7"/>
      <c r="V7" s="7"/>
      <c r="W7" s="7"/>
    </row>
    <row r="8" spans="1:23" ht="15">
      <c r="A8" s="8" t="s">
        <v>59</v>
      </c>
      <c r="B8" s="258">
        <v>1</v>
      </c>
      <c r="C8" s="243"/>
      <c r="D8" s="258">
        <v>0.99</v>
      </c>
      <c r="E8" s="243"/>
      <c r="F8" s="53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>
      <c r="A9" s="8" t="s">
        <v>60</v>
      </c>
      <c r="B9" s="255">
        <v>1114</v>
      </c>
      <c r="C9" s="243"/>
      <c r="D9" s="255">
        <v>1154</v>
      </c>
      <c r="E9" s="243"/>
      <c r="F9" s="54">
        <v>2268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>
      <c r="A10" s="8" t="s">
        <v>187</v>
      </c>
      <c r="B10" s="258">
        <v>0.96</v>
      </c>
      <c r="C10" s="243"/>
      <c r="D10" s="258">
        <v>0.95</v>
      </c>
      <c r="E10" s="243"/>
      <c r="F10" s="53">
        <v>0.96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8" t="s">
        <v>188</v>
      </c>
      <c r="B11" s="255">
        <v>1142</v>
      </c>
      <c r="C11" s="243"/>
      <c r="D11" s="255">
        <v>1104</v>
      </c>
      <c r="E11" s="243"/>
      <c r="F11" s="55" t="s">
        <v>189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>
      <c r="A12" s="8" t="s">
        <v>190</v>
      </c>
      <c r="B12" s="255">
        <v>1892</v>
      </c>
      <c r="C12" s="243"/>
      <c r="D12" s="255">
        <v>1943</v>
      </c>
      <c r="E12" s="243"/>
      <c r="F12" s="54">
        <v>3835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3">
      <c r="A13" s="8" t="s">
        <v>191</v>
      </c>
      <c r="B13" s="255">
        <v>3034</v>
      </c>
      <c r="C13" s="243"/>
      <c r="D13" s="259" t="s">
        <v>192</v>
      </c>
      <c r="E13" s="243"/>
      <c r="F13" s="55" t="s">
        <v>193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3">
      <c r="A14" s="8" t="s">
        <v>194</v>
      </c>
      <c r="B14" s="259" t="s">
        <v>195</v>
      </c>
      <c r="C14" s="243"/>
      <c r="D14" s="259" t="s">
        <v>196</v>
      </c>
      <c r="E14" s="243"/>
      <c r="F14" s="54">
        <v>1064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3">
      <c r="A15" s="8" t="s">
        <v>197</v>
      </c>
      <c r="B15" s="259" t="s">
        <v>198</v>
      </c>
      <c r="C15" s="243"/>
      <c r="D15" s="258">
        <v>0.97</v>
      </c>
      <c r="E15" s="243"/>
      <c r="F15" s="53">
        <v>0.97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>
      <c r="A16" s="8" t="s">
        <v>74</v>
      </c>
      <c r="B16" s="254">
        <v>4.3999999999999997E-2</v>
      </c>
      <c r="C16" s="243"/>
      <c r="D16" s="254">
        <v>4.4200000000000003E-2</v>
      </c>
      <c r="E16" s="243"/>
      <c r="F16" s="56">
        <v>8.8200000000000001E-2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6">
      <c r="A17" s="8" t="s">
        <v>199</v>
      </c>
      <c r="B17" s="255">
        <v>68950</v>
      </c>
      <c r="C17" s="243"/>
      <c r="D17" s="255">
        <v>68980</v>
      </c>
      <c r="E17" s="243"/>
      <c r="F17" s="54">
        <v>68980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6" ht="15">
      <c r="A18" s="8" t="s">
        <v>200</v>
      </c>
      <c r="B18" s="51">
        <v>13</v>
      </c>
      <c r="C18" s="79">
        <v>0</v>
      </c>
      <c r="D18" s="50">
        <v>45</v>
      </c>
      <c r="E18" s="51">
        <v>31</v>
      </c>
      <c r="F18" s="54">
        <v>89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6">
      <c r="A19" s="16" t="s">
        <v>77</v>
      </c>
      <c r="B19" s="17" t="s">
        <v>78</v>
      </c>
      <c r="C19" s="17" t="s">
        <v>31</v>
      </c>
      <c r="D19" s="18" t="s">
        <v>32</v>
      </c>
      <c r="E19" s="18" t="s">
        <v>33</v>
      </c>
      <c r="F19" s="18" t="s">
        <v>34</v>
      </c>
      <c r="H19" s="16" t="s">
        <v>201</v>
      </c>
      <c r="I19" s="17" t="s">
        <v>79</v>
      </c>
      <c r="J19" s="17" t="s">
        <v>31</v>
      </c>
      <c r="K19" s="18" t="s">
        <v>32</v>
      </c>
      <c r="L19" s="18" t="s">
        <v>33</v>
      </c>
      <c r="M19" s="18" t="s">
        <v>34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>
      <c r="A20" s="20" t="s">
        <v>30</v>
      </c>
      <c r="B20" s="80" t="s">
        <v>8</v>
      </c>
      <c r="C20" s="80" t="s">
        <v>8</v>
      </c>
      <c r="D20" s="81">
        <v>10</v>
      </c>
      <c r="E20" s="80">
        <v>197</v>
      </c>
      <c r="F20" s="81">
        <v>39</v>
      </c>
      <c r="G20" s="7"/>
      <c r="H20" s="20" t="s">
        <v>9</v>
      </c>
      <c r="I20" s="80" t="s">
        <v>8</v>
      </c>
      <c r="J20" s="80" t="s">
        <v>8</v>
      </c>
      <c r="K20" s="81">
        <v>4</v>
      </c>
      <c r="L20" s="80">
        <v>201</v>
      </c>
      <c r="M20" s="81">
        <v>36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>
      <c r="A21" s="20" t="s">
        <v>26</v>
      </c>
      <c r="B21" s="80" t="s">
        <v>8</v>
      </c>
      <c r="C21" s="80" t="s">
        <v>8</v>
      </c>
      <c r="D21" s="81">
        <v>12</v>
      </c>
      <c r="E21" s="80">
        <v>111</v>
      </c>
      <c r="F21" s="81">
        <v>35</v>
      </c>
      <c r="G21" s="6"/>
      <c r="H21" s="20" t="s">
        <v>10</v>
      </c>
      <c r="I21" s="80" t="s">
        <v>8</v>
      </c>
      <c r="J21" s="80" t="s">
        <v>8</v>
      </c>
      <c r="K21" s="81">
        <v>9</v>
      </c>
      <c r="L21" s="80">
        <v>134</v>
      </c>
      <c r="M21" s="81">
        <v>28</v>
      </c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>
      <c r="A22" s="20" t="s">
        <v>25</v>
      </c>
      <c r="B22" s="80" t="s">
        <v>8</v>
      </c>
      <c r="C22" s="80" t="s">
        <v>8</v>
      </c>
      <c r="D22" s="81">
        <v>7</v>
      </c>
      <c r="E22" s="80">
        <v>90</v>
      </c>
      <c r="F22" s="81">
        <v>111</v>
      </c>
      <c r="G22" s="6"/>
      <c r="H22" s="20" t="s">
        <v>25</v>
      </c>
      <c r="I22" s="80" t="s">
        <v>8</v>
      </c>
      <c r="J22" s="80" t="s">
        <v>8</v>
      </c>
      <c r="K22" s="81">
        <v>7</v>
      </c>
      <c r="L22" s="80">
        <v>125</v>
      </c>
      <c r="M22" s="81">
        <v>188</v>
      </c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>
      <c r="A23" s="20" t="s">
        <v>18</v>
      </c>
      <c r="B23" s="80" t="s">
        <v>8</v>
      </c>
      <c r="C23" s="80" t="s">
        <v>8</v>
      </c>
      <c r="D23" s="81">
        <v>1</v>
      </c>
      <c r="E23" s="80" t="s">
        <v>8</v>
      </c>
      <c r="F23" s="80" t="s">
        <v>8</v>
      </c>
      <c r="G23" s="6"/>
      <c r="H23" s="20" t="s">
        <v>11</v>
      </c>
      <c r="I23" s="80" t="s">
        <v>8</v>
      </c>
      <c r="J23" s="80" t="s">
        <v>8</v>
      </c>
      <c r="K23" s="81">
        <v>1</v>
      </c>
      <c r="L23" s="80" t="s">
        <v>8</v>
      </c>
      <c r="M23" s="80" t="s">
        <v>8</v>
      </c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>
      <c r="A24" s="20" t="s">
        <v>12</v>
      </c>
      <c r="B24" s="80" t="s">
        <v>8</v>
      </c>
      <c r="C24" s="80" t="s">
        <v>8</v>
      </c>
      <c r="D24" s="81">
        <v>19</v>
      </c>
      <c r="E24" s="80">
        <v>129</v>
      </c>
      <c r="F24" s="81">
        <v>107</v>
      </c>
      <c r="G24" s="6"/>
      <c r="H24" s="20" t="s">
        <v>12</v>
      </c>
      <c r="I24" s="80" t="s">
        <v>8</v>
      </c>
      <c r="J24" s="80" t="s">
        <v>8</v>
      </c>
      <c r="K24" s="81">
        <v>5</v>
      </c>
      <c r="L24" s="80">
        <v>57</v>
      </c>
      <c r="M24" s="81">
        <v>52</v>
      </c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>
      <c r="A25" s="30" t="s">
        <v>19</v>
      </c>
      <c r="B25" s="80" t="s">
        <v>8</v>
      </c>
      <c r="C25" s="80" t="s">
        <v>8</v>
      </c>
      <c r="D25" s="81">
        <v>5</v>
      </c>
      <c r="E25" s="80">
        <v>209</v>
      </c>
      <c r="F25" s="81">
        <v>86</v>
      </c>
      <c r="G25" s="6"/>
      <c r="H25" s="30" t="s">
        <v>13</v>
      </c>
      <c r="I25" s="80" t="s">
        <v>8</v>
      </c>
      <c r="J25" s="80" t="s">
        <v>8</v>
      </c>
      <c r="K25" s="81">
        <v>8</v>
      </c>
      <c r="L25" s="80">
        <v>255</v>
      </c>
      <c r="M25" s="81">
        <v>78</v>
      </c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6" t="s">
        <v>80</v>
      </c>
      <c r="B26" s="17" t="s">
        <v>133</v>
      </c>
      <c r="C26" s="18" t="s">
        <v>32</v>
      </c>
      <c r="D26" s="17" t="s">
        <v>31</v>
      </c>
      <c r="E26" s="18" t="s">
        <v>81</v>
      </c>
      <c r="F26" s="18" t="s">
        <v>36</v>
      </c>
      <c r="G26" s="19" t="s">
        <v>35</v>
      </c>
      <c r="H26" s="16" t="s">
        <v>202</v>
      </c>
      <c r="I26" s="17" t="s">
        <v>79</v>
      </c>
      <c r="J26" s="18" t="s">
        <v>32</v>
      </c>
      <c r="K26" s="17" t="s">
        <v>31</v>
      </c>
      <c r="L26" s="18" t="s">
        <v>134</v>
      </c>
      <c r="M26" s="18" t="s">
        <v>36</v>
      </c>
      <c r="N26" s="81" t="s">
        <v>35</v>
      </c>
      <c r="O26" s="81" t="s">
        <v>203</v>
      </c>
    </row>
    <row r="27" spans="1:26" ht="12.75">
      <c r="A27" s="31" t="s">
        <v>21</v>
      </c>
      <c r="B27" s="21">
        <v>160</v>
      </c>
      <c r="C27" s="12">
        <v>84</v>
      </c>
      <c r="D27" s="82">
        <v>45720</v>
      </c>
      <c r="E27" s="57">
        <v>5.6</v>
      </c>
      <c r="F27" s="33">
        <v>52.5</v>
      </c>
      <c r="G27" s="83">
        <v>6.6319444444444446E-3</v>
      </c>
      <c r="H27" s="31" t="s">
        <v>204</v>
      </c>
      <c r="I27" s="26">
        <v>180</v>
      </c>
      <c r="J27" s="12">
        <v>94</v>
      </c>
      <c r="K27" s="21">
        <v>4</v>
      </c>
      <c r="L27" s="57">
        <v>6.27</v>
      </c>
      <c r="M27" s="33">
        <v>52.22</v>
      </c>
      <c r="N27" s="60">
        <v>3.5185185185185185E-3</v>
      </c>
      <c r="O27" s="84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>
      <c r="A28" s="31" t="s">
        <v>24</v>
      </c>
      <c r="B28" s="24">
        <v>67</v>
      </c>
      <c r="C28" s="25">
        <v>41</v>
      </c>
      <c r="D28" s="85">
        <v>45781</v>
      </c>
      <c r="E28" s="58">
        <v>2.73</v>
      </c>
      <c r="F28" s="32">
        <v>61.19</v>
      </c>
      <c r="G28" s="60">
        <v>5.7407407407407407E-3</v>
      </c>
      <c r="H28" s="31" t="s">
        <v>205</v>
      </c>
      <c r="I28" s="26">
        <v>77</v>
      </c>
      <c r="J28" s="25">
        <v>52</v>
      </c>
      <c r="K28" s="85">
        <v>45903</v>
      </c>
      <c r="L28" s="58">
        <v>3.47</v>
      </c>
      <c r="M28" s="32">
        <v>67.53</v>
      </c>
      <c r="N28" s="27">
        <v>1.5856481481481481E-3</v>
      </c>
      <c r="O28" s="8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>
      <c r="A29" s="31" t="s">
        <v>41</v>
      </c>
      <c r="B29" s="24">
        <v>83</v>
      </c>
      <c r="C29" s="12">
        <v>32</v>
      </c>
      <c r="D29" s="82">
        <v>45781</v>
      </c>
      <c r="E29" s="57">
        <v>2.13</v>
      </c>
      <c r="F29" s="33">
        <v>38.549999999999997</v>
      </c>
      <c r="G29" s="9">
        <v>2.1759259259259258E-3</v>
      </c>
      <c r="H29" s="31" t="s">
        <v>206</v>
      </c>
      <c r="I29" s="87">
        <v>47</v>
      </c>
      <c r="J29" s="12">
        <v>42</v>
      </c>
      <c r="K29" s="82">
        <v>45840</v>
      </c>
      <c r="L29" s="57">
        <v>2.8</v>
      </c>
      <c r="M29" s="33">
        <v>89.36</v>
      </c>
      <c r="N29" s="88" t="s">
        <v>207</v>
      </c>
      <c r="O29" s="84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>
      <c r="A30" s="31" t="s">
        <v>135</v>
      </c>
      <c r="B30" s="24">
        <v>99</v>
      </c>
      <c r="C30" s="25">
        <v>47</v>
      </c>
      <c r="D30" s="85">
        <v>45903</v>
      </c>
      <c r="E30" s="58">
        <v>3.13</v>
      </c>
      <c r="F30" s="32">
        <v>47.47</v>
      </c>
      <c r="G30" s="27">
        <v>2.7777777777777779E-3</v>
      </c>
      <c r="H30" s="31" t="s">
        <v>208</v>
      </c>
      <c r="I30" s="26">
        <v>111</v>
      </c>
      <c r="J30" s="25">
        <v>39</v>
      </c>
      <c r="K30" s="85">
        <v>45781</v>
      </c>
      <c r="L30" s="58">
        <v>2.6</v>
      </c>
      <c r="M30" s="32">
        <v>35.14</v>
      </c>
      <c r="N30" s="27">
        <v>2.5347222222222221E-3</v>
      </c>
      <c r="O30" s="8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>
      <c r="A31" s="31" t="s">
        <v>209</v>
      </c>
      <c r="B31" s="34" t="s">
        <v>8</v>
      </c>
      <c r="C31" s="34" t="s">
        <v>8</v>
      </c>
      <c r="D31" s="21" t="s">
        <v>8</v>
      </c>
      <c r="E31" s="57"/>
      <c r="F31" s="21" t="s">
        <v>8</v>
      </c>
      <c r="G31" s="21" t="s">
        <v>8</v>
      </c>
      <c r="H31" s="31" t="s">
        <v>210</v>
      </c>
      <c r="I31" s="26">
        <v>81</v>
      </c>
      <c r="J31" s="12">
        <v>42</v>
      </c>
      <c r="K31" s="82">
        <v>45692</v>
      </c>
      <c r="L31" s="57">
        <v>2.8</v>
      </c>
      <c r="M31" s="33">
        <v>51.85</v>
      </c>
      <c r="N31" s="9">
        <v>1.4004629629629629E-3</v>
      </c>
      <c r="O31" s="8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>
      <c r="A32" s="31" t="s">
        <v>86</v>
      </c>
      <c r="B32" s="24">
        <v>107</v>
      </c>
      <c r="C32" s="25">
        <v>49</v>
      </c>
      <c r="D32" s="85">
        <v>45661</v>
      </c>
      <c r="E32" s="58">
        <v>3.27</v>
      </c>
      <c r="F32" s="32">
        <v>45.79</v>
      </c>
      <c r="G32" s="27">
        <v>3.1828703703703702E-3</v>
      </c>
      <c r="H32" s="31" t="s">
        <v>211</v>
      </c>
      <c r="I32" s="26">
        <v>88</v>
      </c>
      <c r="J32" s="25">
        <v>36</v>
      </c>
      <c r="K32" s="85">
        <v>45872</v>
      </c>
      <c r="L32" s="58">
        <v>2.4</v>
      </c>
      <c r="M32" s="32">
        <v>40.909999999999997</v>
      </c>
      <c r="N32" s="88" t="s">
        <v>212</v>
      </c>
      <c r="O32" s="8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9" ht="12.75">
      <c r="A33" s="31" t="s">
        <v>87</v>
      </c>
      <c r="B33" s="34" t="s">
        <v>8</v>
      </c>
      <c r="C33" s="34" t="s">
        <v>8</v>
      </c>
      <c r="D33" s="21" t="s">
        <v>8</v>
      </c>
      <c r="E33" s="57"/>
      <c r="F33" s="21" t="s">
        <v>8</v>
      </c>
      <c r="G33" s="21" t="s">
        <v>8</v>
      </c>
      <c r="H33" s="31" t="s">
        <v>213</v>
      </c>
      <c r="I33" s="35">
        <v>119</v>
      </c>
      <c r="J33" s="12">
        <v>51</v>
      </c>
      <c r="K33" s="82">
        <v>45812</v>
      </c>
      <c r="L33" s="57">
        <v>3.4</v>
      </c>
      <c r="M33" s="33">
        <v>42.86</v>
      </c>
      <c r="N33" s="9">
        <v>2.476851851851852E-3</v>
      </c>
      <c r="O33" s="84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9" ht="12.75">
      <c r="A34" s="31" t="s">
        <v>23</v>
      </c>
      <c r="B34" s="24">
        <v>6</v>
      </c>
      <c r="C34" s="25">
        <v>3</v>
      </c>
      <c r="D34" s="85">
        <v>45842</v>
      </c>
      <c r="E34" s="58">
        <v>0.2</v>
      </c>
      <c r="F34" s="32">
        <v>50</v>
      </c>
      <c r="G34" s="27">
        <v>5.6712962962962967E-4</v>
      </c>
      <c r="H34" s="31" t="s">
        <v>214</v>
      </c>
      <c r="I34" s="26">
        <v>6</v>
      </c>
      <c r="J34" s="25">
        <v>5</v>
      </c>
      <c r="K34" s="85">
        <v>45873</v>
      </c>
      <c r="L34" s="58">
        <v>0.33</v>
      </c>
      <c r="M34" s="32">
        <v>83.33</v>
      </c>
      <c r="N34" s="27">
        <v>1.2037037037037038E-3</v>
      </c>
      <c r="O34" s="8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9" ht="12.75">
      <c r="A35" s="31" t="s">
        <v>28</v>
      </c>
      <c r="B35" s="34" t="s">
        <v>8</v>
      </c>
      <c r="C35" s="36">
        <v>141</v>
      </c>
      <c r="D35" s="21" t="s">
        <v>8</v>
      </c>
      <c r="E35" s="57">
        <v>9.4</v>
      </c>
      <c r="F35" s="21" t="s">
        <v>8</v>
      </c>
      <c r="G35" s="21" t="s">
        <v>8</v>
      </c>
      <c r="H35" s="31" t="s">
        <v>215</v>
      </c>
      <c r="I35" s="21">
        <v>2</v>
      </c>
      <c r="J35" s="12">
        <v>130</v>
      </c>
      <c r="K35" s="21" t="s">
        <v>8</v>
      </c>
      <c r="L35" s="57">
        <v>8.67</v>
      </c>
      <c r="M35" s="89" t="s">
        <v>8</v>
      </c>
      <c r="N35" s="9">
        <v>2.5115740740740741E-3</v>
      </c>
      <c r="O35" s="84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2.75">
      <c r="A36" s="31" t="s">
        <v>88</v>
      </c>
      <c r="B36" s="90">
        <v>42</v>
      </c>
      <c r="C36" s="25">
        <v>39</v>
      </c>
      <c r="D36" s="26">
        <v>4</v>
      </c>
      <c r="E36" s="58">
        <v>2.6</v>
      </c>
      <c r="F36" s="32">
        <v>92.86</v>
      </c>
      <c r="G36" s="60">
        <v>5.5439814814814813E-3</v>
      </c>
      <c r="H36" s="31" t="s">
        <v>216</v>
      </c>
      <c r="I36" s="87">
        <v>43</v>
      </c>
      <c r="J36" s="25">
        <v>27</v>
      </c>
      <c r="K36" s="85">
        <v>45751</v>
      </c>
      <c r="L36" s="58">
        <v>1.8</v>
      </c>
      <c r="M36" s="32">
        <v>62.79</v>
      </c>
      <c r="N36" s="27">
        <v>9.7222222222222219E-4</v>
      </c>
      <c r="O36" s="8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2.75">
      <c r="A37" s="31" t="s">
        <v>22</v>
      </c>
      <c r="B37" s="24">
        <v>239</v>
      </c>
      <c r="C37" s="12">
        <v>63</v>
      </c>
      <c r="D37" s="82">
        <v>45781</v>
      </c>
      <c r="E37" s="57">
        <v>4.2</v>
      </c>
      <c r="F37" s="33">
        <v>26.36</v>
      </c>
      <c r="G37" s="60">
        <v>6.5393518518518517E-3</v>
      </c>
      <c r="H37" s="31" t="s">
        <v>217</v>
      </c>
      <c r="I37" s="26">
        <v>51</v>
      </c>
      <c r="J37" s="12">
        <v>20</v>
      </c>
      <c r="K37" s="82">
        <v>45781</v>
      </c>
      <c r="L37" s="57">
        <v>1.33</v>
      </c>
      <c r="M37" s="33">
        <v>39.22</v>
      </c>
      <c r="N37" s="9">
        <v>7.9861111111111116E-4</v>
      </c>
      <c r="O37" s="84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2.75">
      <c r="A38" s="31" t="s">
        <v>39</v>
      </c>
      <c r="B38" s="24">
        <v>83</v>
      </c>
      <c r="C38" s="25">
        <v>54</v>
      </c>
      <c r="D38" s="85">
        <v>45751</v>
      </c>
      <c r="E38" s="58">
        <v>3.6</v>
      </c>
      <c r="F38" s="32">
        <v>65.06</v>
      </c>
      <c r="G38" s="27">
        <v>1.0648148148148149E-3</v>
      </c>
      <c r="H38" s="31" t="s">
        <v>218</v>
      </c>
      <c r="I38" s="26">
        <v>84</v>
      </c>
      <c r="J38" s="25">
        <v>58</v>
      </c>
      <c r="K38" s="85">
        <v>45781</v>
      </c>
      <c r="L38" s="58">
        <v>3.87</v>
      </c>
      <c r="M38" s="32">
        <v>69.05</v>
      </c>
      <c r="N38" s="27">
        <v>9.4907407407407408E-4</v>
      </c>
      <c r="O38" s="8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2.75">
      <c r="A39" s="31" t="s">
        <v>90</v>
      </c>
      <c r="B39" s="24">
        <v>276</v>
      </c>
      <c r="C39" s="12">
        <v>44</v>
      </c>
      <c r="D39" s="82">
        <v>45719</v>
      </c>
      <c r="E39" s="57">
        <v>2.93</v>
      </c>
      <c r="F39" s="33">
        <v>15.94</v>
      </c>
      <c r="G39" s="9">
        <v>2.638888888888889E-3</v>
      </c>
      <c r="H39" s="31" t="s">
        <v>219</v>
      </c>
      <c r="I39" s="24">
        <v>117</v>
      </c>
      <c r="J39" s="12">
        <v>67</v>
      </c>
      <c r="K39" s="82">
        <v>45661</v>
      </c>
      <c r="L39" s="57">
        <v>4.47</v>
      </c>
      <c r="M39" s="33">
        <v>57.26</v>
      </c>
      <c r="N39" s="9">
        <v>1.9444444444444444E-3</v>
      </c>
      <c r="O39" s="8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2.75">
      <c r="A40" s="31" t="s">
        <v>220</v>
      </c>
      <c r="B40" s="90">
        <v>37</v>
      </c>
      <c r="C40" s="36">
        <v>54</v>
      </c>
      <c r="D40" s="85">
        <v>45750</v>
      </c>
      <c r="E40" s="58">
        <v>3.6</v>
      </c>
      <c r="F40" s="32">
        <v>145.94999999999999</v>
      </c>
      <c r="G40" s="60">
        <v>3.6805555555555554E-3</v>
      </c>
      <c r="H40" s="31" t="s">
        <v>221</v>
      </c>
      <c r="I40" s="87">
        <v>48</v>
      </c>
      <c r="J40" s="25">
        <v>66</v>
      </c>
      <c r="K40" s="85">
        <v>45811</v>
      </c>
      <c r="L40" s="58">
        <v>4.4000000000000004</v>
      </c>
      <c r="M40" s="32">
        <v>137.5</v>
      </c>
      <c r="N40" s="88" t="s">
        <v>222</v>
      </c>
      <c r="O40" s="8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2.75">
      <c r="A41" s="31" t="s">
        <v>40</v>
      </c>
      <c r="B41" s="24">
        <v>83</v>
      </c>
      <c r="C41" s="12">
        <v>51</v>
      </c>
      <c r="D41" s="82">
        <v>45781</v>
      </c>
      <c r="E41" s="57">
        <v>3.4</v>
      </c>
      <c r="F41" s="33">
        <v>61.45</v>
      </c>
      <c r="G41" s="9">
        <v>2.4189814814814816E-3</v>
      </c>
      <c r="H41" s="31" t="s">
        <v>223</v>
      </c>
      <c r="I41" s="26">
        <v>93</v>
      </c>
      <c r="J41" s="12">
        <v>54</v>
      </c>
      <c r="K41" s="82">
        <v>45720</v>
      </c>
      <c r="L41" s="57">
        <v>3.6</v>
      </c>
      <c r="M41" s="33">
        <v>58.06</v>
      </c>
      <c r="N41" s="9">
        <v>1.8749999999999999E-3</v>
      </c>
      <c r="O41" s="8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2.75">
      <c r="A42" s="31" t="s">
        <v>137</v>
      </c>
      <c r="B42" s="26">
        <v>70</v>
      </c>
      <c r="C42" s="25">
        <v>57</v>
      </c>
      <c r="D42" s="26">
        <v>4</v>
      </c>
      <c r="E42" s="58">
        <v>3.8</v>
      </c>
      <c r="F42" s="32">
        <v>81.430000000000007</v>
      </c>
      <c r="G42" s="60">
        <v>3.5763888888888889E-3</v>
      </c>
      <c r="H42" s="31" t="s">
        <v>224</v>
      </c>
      <c r="I42" s="87">
        <v>49</v>
      </c>
      <c r="J42" s="25">
        <v>45</v>
      </c>
      <c r="K42" s="85">
        <v>45720</v>
      </c>
      <c r="L42" s="58">
        <v>3</v>
      </c>
      <c r="M42" s="32">
        <v>91.84</v>
      </c>
      <c r="N42" s="27">
        <v>2.2800925925925927E-3</v>
      </c>
      <c r="O42" s="8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2.75">
      <c r="A43" s="31" t="s">
        <v>93</v>
      </c>
      <c r="B43" s="90">
        <v>19</v>
      </c>
      <c r="C43" s="12">
        <v>42</v>
      </c>
      <c r="D43" s="82">
        <v>45751</v>
      </c>
      <c r="E43" s="57">
        <v>2.8</v>
      </c>
      <c r="F43" s="33">
        <v>221.05</v>
      </c>
      <c r="G43" s="60">
        <v>9.7569444444444448E-3</v>
      </c>
      <c r="H43" s="31" t="s">
        <v>225</v>
      </c>
      <c r="I43" s="26">
        <v>76</v>
      </c>
      <c r="J43" s="12">
        <v>36</v>
      </c>
      <c r="K43" s="82">
        <v>45781</v>
      </c>
      <c r="L43" s="57">
        <v>2.4</v>
      </c>
      <c r="M43" s="33">
        <v>47.37</v>
      </c>
      <c r="N43" s="60">
        <v>3.7615740740740739E-3</v>
      </c>
      <c r="O43" s="8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2.75">
      <c r="A44" s="31" t="s">
        <v>226</v>
      </c>
      <c r="B44" s="24">
        <v>4</v>
      </c>
      <c r="C44" s="36">
        <v>5</v>
      </c>
      <c r="D44" s="85">
        <v>45751</v>
      </c>
      <c r="E44" s="58">
        <v>0.33</v>
      </c>
      <c r="F44" s="32">
        <v>125</v>
      </c>
      <c r="G44" s="61">
        <v>3.2870370370370371E-3</v>
      </c>
      <c r="H44" s="31" t="s">
        <v>227</v>
      </c>
      <c r="I44" s="26">
        <v>8</v>
      </c>
      <c r="J44" s="25">
        <v>5</v>
      </c>
      <c r="K44" s="85">
        <v>45842</v>
      </c>
      <c r="L44" s="58">
        <v>0.33</v>
      </c>
      <c r="M44" s="32">
        <v>62.5</v>
      </c>
      <c r="N44" s="27">
        <v>1.0532407407407407E-3</v>
      </c>
      <c r="O44" s="8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2.75">
      <c r="A45" s="31" t="s">
        <v>20</v>
      </c>
      <c r="B45" s="24">
        <v>150</v>
      </c>
      <c r="C45" s="12">
        <v>61</v>
      </c>
      <c r="D45" s="82">
        <v>45781</v>
      </c>
      <c r="E45" s="57">
        <v>4.07</v>
      </c>
      <c r="F45" s="33">
        <v>40.67</v>
      </c>
      <c r="G45" s="60">
        <v>7.3726851851851852E-3</v>
      </c>
      <c r="H45" s="31" t="s">
        <v>228</v>
      </c>
      <c r="I45" s="24">
        <v>118</v>
      </c>
      <c r="J45" s="12">
        <v>76</v>
      </c>
      <c r="K45" s="82">
        <v>45751</v>
      </c>
      <c r="L45" s="57">
        <v>5.07</v>
      </c>
      <c r="M45" s="33">
        <v>64.41</v>
      </c>
      <c r="N45" s="9">
        <v>2.9629629629629628E-3</v>
      </c>
      <c r="O45" s="84"/>
      <c r="P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2.75">
      <c r="A46" s="31" t="s">
        <v>27</v>
      </c>
      <c r="B46" s="24">
        <v>125</v>
      </c>
      <c r="C46" s="25">
        <v>39</v>
      </c>
      <c r="D46" s="85">
        <v>45812</v>
      </c>
      <c r="E46" s="58">
        <v>2.6</v>
      </c>
      <c r="F46" s="32">
        <v>31.2</v>
      </c>
      <c r="G46" s="60">
        <v>8.726851851851852E-3</v>
      </c>
      <c r="H46" s="31" t="s">
        <v>14</v>
      </c>
      <c r="I46" s="26">
        <v>262</v>
      </c>
      <c r="J46" s="25">
        <v>25</v>
      </c>
      <c r="K46" s="85">
        <v>45812</v>
      </c>
      <c r="L46" s="58">
        <v>1.67</v>
      </c>
      <c r="M46" s="32">
        <v>9.5399999999999991</v>
      </c>
      <c r="N46" s="60">
        <v>5.4861111111111109E-3</v>
      </c>
      <c r="O46" s="8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2.75">
      <c r="A47" s="31" t="s">
        <v>38</v>
      </c>
      <c r="B47" s="24">
        <v>106</v>
      </c>
      <c r="C47" s="12">
        <v>54</v>
      </c>
      <c r="D47" s="82">
        <v>45720</v>
      </c>
      <c r="E47" s="57">
        <v>3.6</v>
      </c>
      <c r="F47" s="33">
        <v>50.94</v>
      </c>
      <c r="G47" s="9">
        <v>3.1712962962962962E-3</v>
      </c>
      <c r="H47" s="31" t="s">
        <v>229</v>
      </c>
      <c r="I47" s="26">
        <v>97</v>
      </c>
      <c r="J47" s="12">
        <v>45</v>
      </c>
      <c r="K47" s="82">
        <v>45750</v>
      </c>
      <c r="L47" s="57">
        <v>3</v>
      </c>
      <c r="M47" s="33">
        <v>46.39</v>
      </c>
      <c r="N47" s="88" t="s">
        <v>230</v>
      </c>
      <c r="O47" s="8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2.75">
      <c r="A48" s="31" t="s">
        <v>96</v>
      </c>
      <c r="B48" s="90">
        <v>30</v>
      </c>
      <c r="C48" s="25">
        <v>52</v>
      </c>
      <c r="D48" s="85">
        <v>45692</v>
      </c>
      <c r="E48" s="58">
        <v>3.47</v>
      </c>
      <c r="F48" s="32">
        <v>173.33</v>
      </c>
      <c r="G48" s="60">
        <v>8.564814814814815E-3</v>
      </c>
      <c r="H48" s="31" t="s">
        <v>231</v>
      </c>
      <c r="I48" s="26">
        <v>68</v>
      </c>
      <c r="J48" s="25">
        <v>30</v>
      </c>
      <c r="K48" s="26">
        <v>4</v>
      </c>
      <c r="L48" s="58">
        <v>2</v>
      </c>
      <c r="M48" s="32">
        <v>44.12</v>
      </c>
      <c r="N48" s="60">
        <v>1.1273148148148148E-2</v>
      </c>
      <c r="O48" s="8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2.75">
      <c r="A49" s="31" t="s">
        <v>232</v>
      </c>
      <c r="B49" s="24">
        <v>106</v>
      </c>
      <c r="C49" s="36">
        <v>20</v>
      </c>
      <c r="D49" s="82">
        <v>45903</v>
      </c>
      <c r="E49" s="57">
        <v>1.33</v>
      </c>
      <c r="F49" s="33">
        <v>18.87</v>
      </c>
      <c r="G49" s="91">
        <v>7.6504629629629631E-3</v>
      </c>
      <c r="H49" s="31" t="s">
        <v>233</v>
      </c>
      <c r="I49" s="26">
        <v>68</v>
      </c>
      <c r="J49" s="12">
        <v>19</v>
      </c>
      <c r="K49" s="82">
        <v>45749</v>
      </c>
      <c r="L49" s="57">
        <v>1.27</v>
      </c>
      <c r="M49" s="33">
        <v>27.94</v>
      </c>
      <c r="N49" s="88" t="s">
        <v>234</v>
      </c>
      <c r="O49" s="8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2.75">
      <c r="A50" s="31" t="s">
        <v>42</v>
      </c>
      <c r="B50" s="37" t="s">
        <v>235</v>
      </c>
      <c r="C50" s="25">
        <v>56</v>
      </c>
      <c r="D50" s="85">
        <v>45720</v>
      </c>
      <c r="E50" s="58">
        <v>3.73</v>
      </c>
      <c r="F50" s="32">
        <v>35</v>
      </c>
      <c r="G50" s="27">
        <v>1.9907407407407408E-3</v>
      </c>
      <c r="H50" s="31" t="s">
        <v>236</v>
      </c>
      <c r="I50" s="26">
        <v>131</v>
      </c>
      <c r="J50" s="25">
        <v>48</v>
      </c>
      <c r="K50" s="85">
        <v>45720</v>
      </c>
      <c r="L50" s="58">
        <v>3.2</v>
      </c>
      <c r="M50" s="32">
        <v>36.64</v>
      </c>
      <c r="N50" s="27">
        <v>1.2962962962962963E-3</v>
      </c>
      <c r="O50" s="8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2.75">
      <c r="A51" s="6"/>
      <c r="B51" s="38" t="s">
        <v>237</v>
      </c>
      <c r="C51" s="38" t="s">
        <v>238</v>
      </c>
      <c r="D51" s="92" t="s">
        <v>239</v>
      </c>
      <c r="E51" s="92" t="s">
        <v>240</v>
      </c>
      <c r="F51" s="6"/>
      <c r="G51" s="38" t="s">
        <v>241</v>
      </c>
      <c r="H51" s="6"/>
      <c r="I51" s="38" t="s">
        <v>242</v>
      </c>
      <c r="J51" s="38" t="s">
        <v>243</v>
      </c>
      <c r="K51" s="38" t="s">
        <v>244</v>
      </c>
      <c r="L51" s="38">
        <f>AVERAGEIF(L27:L50,"&gt;0")</f>
        <v>3.0895833333333322</v>
      </c>
      <c r="M51" s="6"/>
      <c r="N51" s="38" t="s">
        <v>245</v>
      </c>
      <c r="O51" s="69"/>
    </row>
    <row r="52" spans="1:29" ht="12.7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29" ht="18.75">
      <c r="A53" s="42" t="s">
        <v>110</v>
      </c>
      <c r="B53" s="43" t="s">
        <v>0</v>
      </c>
      <c r="C53" s="43" t="s">
        <v>5</v>
      </c>
      <c r="D53" s="43" t="s">
        <v>6</v>
      </c>
      <c r="E53" s="43" t="s">
        <v>17</v>
      </c>
      <c r="F53" s="43" t="s">
        <v>16</v>
      </c>
      <c r="G53" s="43" t="s">
        <v>1</v>
      </c>
      <c r="H53" s="43" t="s">
        <v>2</v>
      </c>
      <c r="I53" s="43" t="s">
        <v>7</v>
      </c>
      <c r="J53" s="43" t="s">
        <v>4</v>
      </c>
      <c r="K53" s="260" t="s">
        <v>3</v>
      </c>
      <c r="L53" s="261"/>
      <c r="M53" s="6"/>
      <c r="N53" s="6"/>
      <c r="O53" s="6"/>
    </row>
    <row r="54" spans="1:29" ht="18.75">
      <c r="A54" s="42" t="s">
        <v>111</v>
      </c>
      <c r="B54" s="2">
        <v>17414</v>
      </c>
      <c r="C54" s="2">
        <v>8990</v>
      </c>
      <c r="D54" s="2">
        <v>7355</v>
      </c>
      <c r="E54" s="44">
        <v>4359</v>
      </c>
      <c r="F54" s="2">
        <v>8025</v>
      </c>
      <c r="G54" s="2">
        <v>4668</v>
      </c>
      <c r="H54" s="2">
        <v>5148</v>
      </c>
      <c r="I54" s="2">
        <v>1958</v>
      </c>
      <c r="J54" s="2">
        <v>5368</v>
      </c>
      <c r="K54" s="2">
        <v>5724</v>
      </c>
      <c r="M54" s="39"/>
      <c r="N54" s="39"/>
      <c r="O54" s="39"/>
    </row>
    <row r="55" spans="1:29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29" ht="12.75">
      <c r="A56" s="62" t="s">
        <v>147</v>
      </c>
      <c r="B56" s="62" t="s">
        <v>148</v>
      </c>
      <c r="C56" s="93" t="s">
        <v>149</v>
      </c>
      <c r="D56" s="93" t="s">
        <v>246</v>
      </c>
      <c r="E56" s="93" t="s">
        <v>247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2.75">
      <c r="A57" s="74" t="s">
        <v>248</v>
      </c>
      <c r="B57" s="64">
        <v>45901</v>
      </c>
      <c r="C57" s="63" t="s">
        <v>162</v>
      </c>
      <c r="D57" s="63" t="s">
        <v>249</v>
      </c>
      <c r="E57" s="63" t="s">
        <v>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2.75">
      <c r="A58" s="73" t="s">
        <v>250</v>
      </c>
      <c r="B58" s="67">
        <v>45902</v>
      </c>
      <c r="C58" s="94" t="s">
        <v>162</v>
      </c>
      <c r="D58" s="66" t="s">
        <v>251</v>
      </c>
      <c r="E58" s="66" t="s">
        <v>8</v>
      </c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2.75">
      <c r="A59" s="74" t="s">
        <v>252</v>
      </c>
      <c r="B59" s="64">
        <v>45902</v>
      </c>
      <c r="C59" s="95" t="s">
        <v>171</v>
      </c>
      <c r="D59" s="63" t="s">
        <v>253</v>
      </c>
      <c r="E59" s="63" t="s">
        <v>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2.75">
      <c r="A60" s="73" t="s">
        <v>254</v>
      </c>
      <c r="B60" s="67">
        <v>45902</v>
      </c>
      <c r="C60" s="66" t="s">
        <v>255</v>
      </c>
      <c r="D60" s="66" t="s">
        <v>8</v>
      </c>
      <c r="E60" s="66" t="s">
        <v>8</v>
      </c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2.75">
      <c r="A61" s="74" t="s">
        <v>256</v>
      </c>
      <c r="B61" s="64">
        <v>45903</v>
      </c>
      <c r="C61" s="63" t="s">
        <v>257</v>
      </c>
      <c r="D61" s="63" t="s">
        <v>258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2.75">
      <c r="A62" s="73" t="s">
        <v>259</v>
      </c>
      <c r="B62" s="67">
        <v>45903</v>
      </c>
      <c r="C62" s="66" t="s">
        <v>171</v>
      </c>
      <c r="D62" s="66" t="s">
        <v>260</v>
      </c>
      <c r="E62" s="66" t="s">
        <v>261</v>
      </c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2.75">
      <c r="A63" s="74" t="s">
        <v>262</v>
      </c>
      <c r="B63" s="64">
        <v>45903</v>
      </c>
      <c r="C63" s="63" t="s">
        <v>263</v>
      </c>
      <c r="D63" s="63" t="s">
        <v>264</v>
      </c>
      <c r="E63" s="63" t="s">
        <v>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2.75">
      <c r="A64" s="96" t="s">
        <v>265</v>
      </c>
      <c r="B64" s="67">
        <v>45903</v>
      </c>
      <c r="C64" s="66" t="s">
        <v>171</v>
      </c>
      <c r="D64" s="66" t="s">
        <v>266</v>
      </c>
      <c r="E64" s="66" t="s">
        <v>8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2.75">
      <c r="A65" s="74" t="s">
        <v>267</v>
      </c>
      <c r="B65" s="64">
        <v>45903</v>
      </c>
      <c r="C65" s="63" t="s">
        <v>164</v>
      </c>
      <c r="D65" s="63" t="s">
        <v>268</v>
      </c>
      <c r="E65" s="63" t="s">
        <v>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2.75">
      <c r="A66" s="73" t="s">
        <v>269</v>
      </c>
      <c r="B66" s="67">
        <v>45904</v>
      </c>
      <c r="C66" s="66" t="s">
        <v>158</v>
      </c>
      <c r="D66" s="66" t="s">
        <v>268</v>
      </c>
      <c r="E66" s="66" t="s">
        <v>270</v>
      </c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2.75">
      <c r="A67" s="74" t="s">
        <v>271</v>
      </c>
      <c r="B67" s="64">
        <v>45904</v>
      </c>
      <c r="C67" s="63" t="s">
        <v>158</v>
      </c>
      <c r="D67" s="63" t="s">
        <v>272</v>
      </c>
      <c r="E67" s="63" t="s">
        <v>273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2.75">
      <c r="A68" s="73" t="s">
        <v>274</v>
      </c>
      <c r="B68" s="67">
        <v>45904</v>
      </c>
      <c r="C68" s="66" t="s">
        <v>257</v>
      </c>
      <c r="D68" s="66" t="s">
        <v>275</v>
      </c>
      <c r="E68" s="66" t="s">
        <v>8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2.75">
      <c r="A69" s="74" t="s">
        <v>276</v>
      </c>
      <c r="B69" s="64">
        <v>45904</v>
      </c>
      <c r="C69" s="63" t="s">
        <v>277</v>
      </c>
      <c r="D69" s="63" t="s">
        <v>272</v>
      </c>
      <c r="E69" s="63" t="s">
        <v>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2.75">
      <c r="A70" s="73" t="s">
        <v>278</v>
      </c>
      <c r="B70" s="67">
        <v>45905</v>
      </c>
      <c r="C70" s="66" t="s">
        <v>279</v>
      </c>
      <c r="D70" s="66" t="s">
        <v>8</v>
      </c>
      <c r="E70" s="66" t="s">
        <v>280</v>
      </c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2.75">
      <c r="A71" s="74" t="s">
        <v>281</v>
      </c>
      <c r="B71" s="64">
        <v>45906</v>
      </c>
      <c r="C71" s="63" t="s">
        <v>282</v>
      </c>
      <c r="D71" s="63" t="s">
        <v>8</v>
      </c>
      <c r="E71" s="63" t="s">
        <v>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2.75">
      <c r="A72" s="73" t="s">
        <v>283</v>
      </c>
      <c r="B72" s="67">
        <v>45908</v>
      </c>
      <c r="C72" s="66" t="s">
        <v>284</v>
      </c>
      <c r="D72" s="66" t="s">
        <v>285</v>
      </c>
      <c r="E72" s="66" t="s">
        <v>286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2.75">
      <c r="A73" s="74" t="s">
        <v>287</v>
      </c>
      <c r="B73" s="64">
        <v>45908</v>
      </c>
      <c r="C73" s="63" t="s">
        <v>288</v>
      </c>
      <c r="D73" s="63" t="s">
        <v>8</v>
      </c>
      <c r="E73" s="63" t="s">
        <v>289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2.75">
      <c r="A74" s="74" t="s">
        <v>290</v>
      </c>
      <c r="B74" s="64">
        <v>45908</v>
      </c>
      <c r="C74" s="63" t="s">
        <v>171</v>
      </c>
      <c r="D74" s="66" t="s">
        <v>291</v>
      </c>
      <c r="E74" s="66" t="s">
        <v>292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2.75">
      <c r="A75" s="63" t="s">
        <v>293</v>
      </c>
      <c r="B75" s="64">
        <v>45909</v>
      </c>
      <c r="C75" s="63" t="s">
        <v>171</v>
      </c>
      <c r="D75" s="63" t="s">
        <v>294</v>
      </c>
      <c r="E75" s="63" t="s">
        <v>295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">
      <c r="A76" s="97" t="s">
        <v>296</v>
      </c>
      <c r="B76" s="64">
        <v>45909</v>
      </c>
      <c r="C76" s="66" t="s">
        <v>297</v>
      </c>
      <c r="D76" s="66" t="s">
        <v>298</v>
      </c>
      <c r="E76" s="66" t="s">
        <v>299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">
      <c r="A77" s="97" t="s">
        <v>300</v>
      </c>
      <c r="B77" s="64">
        <v>45910</v>
      </c>
      <c r="C77" s="63" t="s">
        <v>277</v>
      </c>
      <c r="D77" s="63" t="s">
        <v>285</v>
      </c>
      <c r="E77" s="63" t="s">
        <v>301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">
      <c r="A78" s="97" t="s">
        <v>302</v>
      </c>
      <c r="B78" s="67">
        <v>45910</v>
      </c>
      <c r="C78" s="66" t="s">
        <v>303</v>
      </c>
      <c r="D78" s="66" t="s">
        <v>275</v>
      </c>
      <c r="E78" s="66" t="s">
        <v>304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">
      <c r="A79" s="97" t="s">
        <v>305</v>
      </c>
      <c r="B79" s="64">
        <v>45911</v>
      </c>
      <c r="C79" s="77" t="s">
        <v>255</v>
      </c>
      <c r="D79" s="63" t="s">
        <v>306</v>
      </c>
      <c r="E79" s="63" t="s">
        <v>307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">
      <c r="A80" s="97" t="s">
        <v>308</v>
      </c>
      <c r="B80" s="67">
        <v>45912</v>
      </c>
      <c r="C80" s="63" t="s">
        <v>164</v>
      </c>
      <c r="D80" s="66" t="s">
        <v>309</v>
      </c>
      <c r="E80" s="66" t="s">
        <v>310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2.75">
      <c r="A81" s="63" t="s">
        <v>311</v>
      </c>
      <c r="B81" s="64">
        <v>45912</v>
      </c>
      <c r="C81" s="63" t="s">
        <v>171</v>
      </c>
      <c r="D81" s="63" t="s">
        <v>8</v>
      </c>
      <c r="E81" s="63" t="s">
        <v>312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">
      <c r="A82" s="97" t="s">
        <v>313</v>
      </c>
      <c r="B82" s="67">
        <v>45912</v>
      </c>
      <c r="C82" s="77" t="s">
        <v>314</v>
      </c>
      <c r="D82" s="66" t="s">
        <v>309</v>
      </c>
      <c r="E82" s="66" t="s">
        <v>315</v>
      </c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">
      <c r="A83" s="97" t="s">
        <v>316</v>
      </c>
      <c r="B83" s="64">
        <v>45912</v>
      </c>
      <c r="C83" s="63" t="s">
        <v>317</v>
      </c>
      <c r="D83" s="63" t="s">
        <v>253</v>
      </c>
      <c r="E83" s="63" t="s">
        <v>318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">
      <c r="A84" s="97" t="s">
        <v>319</v>
      </c>
      <c r="B84" s="67">
        <v>45913</v>
      </c>
      <c r="C84" s="97" t="s">
        <v>288</v>
      </c>
      <c r="D84" s="66" t="s">
        <v>320</v>
      </c>
      <c r="E84" s="66" t="s">
        <v>321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">
      <c r="A85" s="77" t="s">
        <v>322</v>
      </c>
      <c r="B85" s="64">
        <v>45913</v>
      </c>
      <c r="C85" s="77" t="s">
        <v>303</v>
      </c>
      <c r="D85" s="63" t="s">
        <v>323</v>
      </c>
      <c r="E85" s="63" t="s">
        <v>324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">
      <c r="A86" s="77" t="s">
        <v>325</v>
      </c>
      <c r="B86" s="67">
        <v>45914</v>
      </c>
      <c r="C86" s="97" t="s">
        <v>155</v>
      </c>
      <c r="D86" s="66" t="s">
        <v>326</v>
      </c>
      <c r="E86" s="66" t="s">
        <v>327</v>
      </c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">
      <c r="A87" s="77" t="s">
        <v>328</v>
      </c>
      <c r="B87" s="64">
        <v>45914</v>
      </c>
      <c r="C87" s="97" t="s">
        <v>155</v>
      </c>
      <c r="D87" s="63" t="s">
        <v>326</v>
      </c>
      <c r="E87" s="63" t="s">
        <v>327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">
      <c r="A88" s="97" t="s">
        <v>329</v>
      </c>
      <c r="B88" s="67">
        <v>45914</v>
      </c>
      <c r="C88" s="97" t="s">
        <v>155</v>
      </c>
      <c r="D88" s="66" t="s">
        <v>326</v>
      </c>
      <c r="E88" s="66" t="s">
        <v>330</v>
      </c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">
      <c r="A89" s="97" t="s">
        <v>331</v>
      </c>
      <c r="B89" s="64">
        <v>45915</v>
      </c>
      <c r="C89" s="63" t="s">
        <v>332</v>
      </c>
      <c r="D89" s="63" t="s">
        <v>333</v>
      </c>
      <c r="E89" s="63" t="s">
        <v>334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">
      <c r="A90" s="66" t="s">
        <v>335</v>
      </c>
      <c r="B90" s="67">
        <v>45915</v>
      </c>
      <c r="C90" s="97" t="s">
        <v>155</v>
      </c>
      <c r="D90" s="66" t="s">
        <v>272</v>
      </c>
      <c r="E90" s="66" t="s">
        <v>336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2.75">
      <c r="A91" s="63" t="s">
        <v>337</v>
      </c>
      <c r="B91" s="64">
        <v>45915</v>
      </c>
      <c r="C91" s="63" t="s">
        <v>338</v>
      </c>
      <c r="D91" s="63" t="s">
        <v>339</v>
      </c>
      <c r="E91" s="63" t="s">
        <v>340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2.75">
      <c r="A92" s="62" t="s">
        <v>147</v>
      </c>
      <c r="B92" s="62" t="s">
        <v>148</v>
      </c>
      <c r="C92" s="62" t="s">
        <v>149</v>
      </c>
      <c r="D92" s="62" t="s">
        <v>246</v>
      </c>
      <c r="E92" s="62" t="s">
        <v>247</v>
      </c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2.75">
      <c r="A93" s="74" t="s">
        <v>341</v>
      </c>
      <c r="B93" s="64">
        <v>45916</v>
      </c>
      <c r="C93" s="63" t="s">
        <v>342</v>
      </c>
      <c r="D93" s="63" t="s">
        <v>343</v>
      </c>
      <c r="E93" s="63" t="s">
        <v>344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2.75">
      <c r="A94" s="72" t="s">
        <v>345</v>
      </c>
      <c r="B94" s="67">
        <v>45916</v>
      </c>
      <c r="C94" s="66" t="s">
        <v>346</v>
      </c>
      <c r="D94" s="66" t="s">
        <v>309</v>
      </c>
      <c r="E94" s="66" t="s">
        <v>347</v>
      </c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2.75">
      <c r="A95" s="63" t="s">
        <v>348</v>
      </c>
      <c r="B95" s="64">
        <v>45916</v>
      </c>
      <c r="C95" s="63" t="s">
        <v>349</v>
      </c>
      <c r="D95" s="63" t="s">
        <v>309</v>
      </c>
      <c r="E95" s="63" t="s">
        <v>350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2.75">
      <c r="A96" s="74" t="s">
        <v>351</v>
      </c>
      <c r="B96" s="67">
        <v>45917</v>
      </c>
      <c r="C96" s="74" t="s">
        <v>352</v>
      </c>
      <c r="D96" s="66" t="s">
        <v>253</v>
      </c>
      <c r="E96" s="66" t="s">
        <v>353</v>
      </c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2.75">
      <c r="A97" s="63" t="s">
        <v>354</v>
      </c>
      <c r="B97" s="64">
        <v>45917</v>
      </c>
      <c r="C97" s="63" t="s">
        <v>282</v>
      </c>
      <c r="D97" s="63" t="s">
        <v>355</v>
      </c>
      <c r="E97" s="63" t="s">
        <v>356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2.75">
      <c r="A98" s="66" t="s">
        <v>357</v>
      </c>
      <c r="B98" s="67">
        <v>45918</v>
      </c>
      <c r="C98" s="63" t="s">
        <v>171</v>
      </c>
      <c r="D98" s="66" t="s">
        <v>358</v>
      </c>
      <c r="E98" s="66" t="s">
        <v>359</v>
      </c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2.75">
      <c r="A99" s="74" t="s">
        <v>360</v>
      </c>
      <c r="B99" s="64">
        <v>45918</v>
      </c>
      <c r="C99" s="63" t="s">
        <v>361</v>
      </c>
      <c r="D99" s="63" t="s">
        <v>362</v>
      </c>
      <c r="E99" s="63" t="s">
        <v>363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2.75">
      <c r="A100" s="74" t="s">
        <v>364</v>
      </c>
      <c r="B100" s="67">
        <v>45918</v>
      </c>
      <c r="C100" s="66" t="s">
        <v>365</v>
      </c>
      <c r="D100" s="66" t="s">
        <v>275</v>
      </c>
      <c r="E100" s="66" t="s">
        <v>366</v>
      </c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2.75">
      <c r="A101" s="74" t="s">
        <v>367</v>
      </c>
      <c r="B101" s="64">
        <v>45918</v>
      </c>
      <c r="C101" s="63" t="s">
        <v>368</v>
      </c>
      <c r="D101" s="63" t="s">
        <v>369</v>
      </c>
      <c r="E101" s="63" t="s">
        <v>370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2.75">
      <c r="A102" s="66" t="s">
        <v>371</v>
      </c>
      <c r="B102" s="67">
        <v>45918</v>
      </c>
      <c r="C102" s="66" t="s">
        <v>342</v>
      </c>
      <c r="D102" s="66" t="s">
        <v>372</v>
      </c>
      <c r="E102" s="66" t="s">
        <v>373</v>
      </c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2.75">
      <c r="A103" s="63" t="s">
        <v>374</v>
      </c>
      <c r="B103" s="64">
        <v>45919</v>
      </c>
      <c r="C103" s="63" t="s">
        <v>282</v>
      </c>
      <c r="D103" s="63" t="s">
        <v>375</v>
      </c>
      <c r="E103" s="63" t="s">
        <v>376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2.75">
      <c r="A104" s="66" t="s">
        <v>377</v>
      </c>
      <c r="B104" s="67">
        <v>45919</v>
      </c>
      <c r="C104" s="66" t="s">
        <v>368</v>
      </c>
      <c r="D104" s="66" t="s">
        <v>378</v>
      </c>
      <c r="E104" s="66" t="s">
        <v>363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2.75">
      <c r="A105" s="98" t="s">
        <v>379</v>
      </c>
      <c r="B105" s="64">
        <v>45919</v>
      </c>
      <c r="C105" s="63" t="s">
        <v>368</v>
      </c>
      <c r="D105" s="63" t="s">
        <v>378</v>
      </c>
      <c r="E105" s="63" t="s">
        <v>363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2.75">
      <c r="A106" s="98" t="s">
        <v>380</v>
      </c>
      <c r="B106" s="67">
        <v>45919</v>
      </c>
      <c r="C106" s="66" t="s">
        <v>338</v>
      </c>
      <c r="D106" s="99" t="s">
        <v>381</v>
      </c>
      <c r="E106" s="66" t="s">
        <v>363</v>
      </c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2.75">
      <c r="A107" s="63" t="s">
        <v>382</v>
      </c>
      <c r="B107" s="64">
        <v>45921</v>
      </c>
      <c r="C107" s="63" t="s">
        <v>171</v>
      </c>
      <c r="D107" s="63" t="s">
        <v>383</v>
      </c>
      <c r="E107" s="63" t="s">
        <v>384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2.75">
      <c r="A108" s="66" t="s">
        <v>385</v>
      </c>
      <c r="B108" s="67">
        <v>45921</v>
      </c>
      <c r="C108" s="66" t="s">
        <v>349</v>
      </c>
      <c r="D108" s="66" t="s">
        <v>386</v>
      </c>
      <c r="E108" s="66" t="s">
        <v>387</v>
      </c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2.75">
      <c r="A109" s="74" t="s">
        <v>388</v>
      </c>
      <c r="B109" s="64">
        <v>45922</v>
      </c>
      <c r="C109" s="63" t="s">
        <v>158</v>
      </c>
      <c r="D109" s="63" t="s">
        <v>389</v>
      </c>
      <c r="E109" s="63" t="s">
        <v>390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2.75">
      <c r="A110" s="66" t="s">
        <v>391</v>
      </c>
      <c r="B110" s="67">
        <v>45922</v>
      </c>
      <c r="C110" s="66" t="s">
        <v>392</v>
      </c>
      <c r="D110" s="66" t="s">
        <v>393</v>
      </c>
      <c r="E110" s="66" t="s">
        <v>394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2.75">
      <c r="A111" s="72" t="s">
        <v>395</v>
      </c>
      <c r="B111" s="64">
        <v>45922</v>
      </c>
      <c r="C111" s="63" t="s">
        <v>158</v>
      </c>
      <c r="D111" s="63" t="s">
        <v>372</v>
      </c>
      <c r="E111" s="63" t="s">
        <v>396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2.75">
      <c r="A112" s="66" t="s">
        <v>397</v>
      </c>
      <c r="B112" s="67">
        <v>45922</v>
      </c>
      <c r="C112" s="66" t="s">
        <v>398</v>
      </c>
      <c r="D112" s="66" t="s">
        <v>343</v>
      </c>
      <c r="E112" s="66" t="s">
        <v>399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2.75">
      <c r="A113" s="63" t="s">
        <v>400</v>
      </c>
      <c r="B113" s="64">
        <v>45922</v>
      </c>
      <c r="C113" s="63" t="s">
        <v>398</v>
      </c>
      <c r="D113" s="63" t="s">
        <v>372</v>
      </c>
      <c r="E113" s="63" t="s">
        <v>401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2.75">
      <c r="A114" s="63" t="s">
        <v>402</v>
      </c>
      <c r="B114" s="67">
        <v>45922</v>
      </c>
      <c r="C114" s="66" t="s">
        <v>346</v>
      </c>
      <c r="D114" s="66" t="s">
        <v>403</v>
      </c>
      <c r="E114" s="66" t="s">
        <v>404</v>
      </c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2.75">
      <c r="A115" s="63" t="s">
        <v>405</v>
      </c>
      <c r="B115" s="64">
        <v>45923</v>
      </c>
      <c r="C115" s="63" t="s">
        <v>158</v>
      </c>
      <c r="D115" s="69" t="s">
        <v>406</v>
      </c>
      <c r="E115" s="63" t="s">
        <v>407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2.75">
      <c r="A116" s="63" t="s">
        <v>408</v>
      </c>
      <c r="B116" s="67">
        <v>45923</v>
      </c>
      <c r="C116" s="66" t="s">
        <v>398</v>
      </c>
      <c r="D116" s="66" t="s">
        <v>409</v>
      </c>
      <c r="E116" s="66" t="s">
        <v>410</v>
      </c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2.75">
      <c r="A117" s="72" t="s">
        <v>411</v>
      </c>
      <c r="B117" s="64">
        <v>45924</v>
      </c>
      <c r="C117" s="63" t="s">
        <v>158</v>
      </c>
      <c r="D117" s="72" t="s">
        <v>412</v>
      </c>
      <c r="E117" s="63" t="s">
        <v>413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2.75">
      <c r="A118" s="74" t="s">
        <v>414</v>
      </c>
      <c r="B118" s="67">
        <v>45924</v>
      </c>
      <c r="C118" s="66" t="s">
        <v>164</v>
      </c>
      <c r="D118" s="72" t="s">
        <v>415</v>
      </c>
      <c r="E118" s="66" t="s">
        <v>416</v>
      </c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2.75">
      <c r="A119" s="74" t="s">
        <v>417</v>
      </c>
      <c r="B119" s="64">
        <v>45924</v>
      </c>
      <c r="C119" s="63" t="s">
        <v>398</v>
      </c>
      <c r="D119" s="63" t="s">
        <v>418</v>
      </c>
      <c r="E119" s="63" t="s">
        <v>419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2.75">
      <c r="A120" s="74" t="s">
        <v>420</v>
      </c>
      <c r="B120" s="67">
        <v>45924</v>
      </c>
      <c r="C120" s="66" t="s">
        <v>392</v>
      </c>
      <c r="D120" s="66" t="s">
        <v>275</v>
      </c>
      <c r="E120" s="66" t="s">
        <v>421</v>
      </c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2.75">
      <c r="A121" s="63" t="s">
        <v>422</v>
      </c>
      <c r="B121" s="64">
        <v>45925</v>
      </c>
      <c r="C121" s="63" t="s">
        <v>263</v>
      </c>
      <c r="D121" s="63" t="s">
        <v>275</v>
      </c>
      <c r="E121" s="63" t="s">
        <v>423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2.75">
      <c r="A122" s="74" t="s">
        <v>424</v>
      </c>
      <c r="B122" s="67">
        <v>45925</v>
      </c>
      <c r="C122" s="66" t="s">
        <v>425</v>
      </c>
      <c r="D122" s="66" t="s">
        <v>426</v>
      </c>
      <c r="E122" s="66" t="s">
        <v>427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2.75">
      <c r="A123" s="63" t="s">
        <v>428</v>
      </c>
      <c r="B123" s="64">
        <v>45926</v>
      </c>
      <c r="C123" s="63" t="s">
        <v>158</v>
      </c>
      <c r="D123" s="63" t="s">
        <v>429</v>
      </c>
      <c r="E123" s="63" t="s">
        <v>430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2.75">
      <c r="A124" s="74" t="s">
        <v>431</v>
      </c>
      <c r="B124" s="67">
        <v>45926</v>
      </c>
      <c r="C124" s="66" t="s">
        <v>303</v>
      </c>
      <c r="D124" s="66" t="s">
        <v>309</v>
      </c>
      <c r="E124" s="66" t="s">
        <v>432</v>
      </c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2.75">
      <c r="A125" s="63" t="s">
        <v>433</v>
      </c>
      <c r="B125" s="64">
        <v>45926</v>
      </c>
      <c r="C125" s="63" t="s">
        <v>434</v>
      </c>
      <c r="D125" s="63" t="s">
        <v>435</v>
      </c>
      <c r="E125" s="63" t="s">
        <v>436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2.75">
      <c r="A126" s="74" t="s">
        <v>437</v>
      </c>
      <c r="B126" s="67">
        <v>45926</v>
      </c>
      <c r="C126" s="66" t="s">
        <v>338</v>
      </c>
      <c r="D126" s="66" t="s">
        <v>275</v>
      </c>
      <c r="E126" s="66" t="s">
        <v>438</v>
      </c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2.75">
      <c r="A127" s="74" t="s">
        <v>439</v>
      </c>
      <c r="B127" s="64">
        <v>45926</v>
      </c>
      <c r="C127" s="63" t="s">
        <v>164</v>
      </c>
      <c r="D127" s="63" t="s">
        <v>309</v>
      </c>
      <c r="E127" s="63" t="s">
        <v>440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2.75">
      <c r="A128" s="72" t="s">
        <v>441</v>
      </c>
      <c r="B128" s="67">
        <v>45926</v>
      </c>
      <c r="C128" s="66" t="s">
        <v>164</v>
      </c>
      <c r="D128" s="66" t="s">
        <v>275</v>
      </c>
      <c r="E128" s="66" t="s">
        <v>442</v>
      </c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">
      <c r="A129" s="63" t="s">
        <v>443</v>
      </c>
      <c r="B129" s="64">
        <v>45927</v>
      </c>
      <c r="C129" s="74" t="s">
        <v>444</v>
      </c>
      <c r="D129" s="63" t="s">
        <v>275</v>
      </c>
      <c r="E129" s="97" t="s">
        <v>445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2.75">
      <c r="A130" s="66" t="s">
        <v>446</v>
      </c>
      <c r="B130" s="67">
        <v>45927</v>
      </c>
      <c r="C130" s="66" t="s">
        <v>171</v>
      </c>
      <c r="D130" s="66" t="s">
        <v>447</v>
      </c>
      <c r="E130" s="66" t="s">
        <v>448</v>
      </c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2.75">
      <c r="A131" s="63" t="s">
        <v>449</v>
      </c>
      <c r="B131" s="64">
        <v>45927</v>
      </c>
      <c r="C131" s="63" t="s">
        <v>162</v>
      </c>
      <c r="D131" s="63" t="s">
        <v>450</v>
      </c>
      <c r="E131" s="63" t="s">
        <v>451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2.75">
      <c r="A132" s="74" t="s">
        <v>452</v>
      </c>
      <c r="B132" s="67">
        <v>45927</v>
      </c>
      <c r="C132" s="66" t="s">
        <v>392</v>
      </c>
      <c r="D132" s="66" t="s">
        <v>453</v>
      </c>
      <c r="E132" s="66" t="s">
        <v>454</v>
      </c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2.75">
      <c r="A133" s="72" t="s">
        <v>455</v>
      </c>
      <c r="B133" s="64">
        <v>45929</v>
      </c>
      <c r="C133" s="63" t="s">
        <v>456</v>
      </c>
      <c r="D133" s="63" t="s">
        <v>285</v>
      </c>
      <c r="E133" s="63" t="s">
        <v>457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2.75">
      <c r="A134" s="74" t="s">
        <v>458</v>
      </c>
      <c r="B134" s="67">
        <v>45929</v>
      </c>
      <c r="C134" s="66" t="s">
        <v>392</v>
      </c>
      <c r="D134" s="66" t="s">
        <v>459</v>
      </c>
      <c r="E134" s="66" t="s">
        <v>460</v>
      </c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2.75">
      <c r="A135" s="74" t="s">
        <v>461</v>
      </c>
      <c r="B135" s="64">
        <v>45929</v>
      </c>
      <c r="C135" s="63" t="s">
        <v>158</v>
      </c>
      <c r="D135" s="63" t="s">
        <v>462</v>
      </c>
      <c r="E135" s="63" t="s">
        <v>463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2.75">
      <c r="A136" s="72" t="s">
        <v>464</v>
      </c>
      <c r="B136" s="67">
        <v>45929</v>
      </c>
      <c r="C136" s="66" t="s">
        <v>171</v>
      </c>
      <c r="D136" s="66" t="s">
        <v>275</v>
      </c>
      <c r="E136" s="66" t="s">
        <v>465</v>
      </c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2.75">
      <c r="A137" s="63" t="s">
        <v>466</v>
      </c>
      <c r="B137" s="64">
        <v>45929</v>
      </c>
      <c r="C137" s="63" t="s">
        <v>392</v>
      </c>
      <c r="D137" s="63" t="s">
        <v>467</v>
      </c>
      <c r="E137" s="63" t="s">
        <v>468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2.75">
      <c r="A138" s="66" t="s">
        <v>469</v>
      </c>
      <c r="B138" s="67">
        <v>45930</v>
      </c>
      <c r="C138" s="66" t="s">
        <v>171</v>
      </c>
      <c r="D138" s="66" t="s">
        <v>275</v>
      </c>
      <c r="E138" s="66" t="s">
        <v>470</v>
      </c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2.75">
      <c r="A139" s="74" t="s">
        <v>471</v>
      </c>
      <c r="B139" s="64">
        <v>45930</v>
      </c>
      <c r="C139" s="63" t="s">
        <v>338</v>
      </c>
      <c r="D139" s="63" t="s">
        <v>275</v>
      </c>
      <c r="E139" s="63" t="s">
        <v>472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2.75">
      <c r="A140" s="74" t="s">
        <v>473</v>
      </c>
      <c r="B140" s="67">
        <v>45930</v>
      </c>
      <c r="C140" s="99" t="s">
        <v>392</v>
      </c>
      <c r="D140" s="99" t="s">
        <v>378</v>
      </c>
      <c r="E140" s="66" t="s">
        <v>474</v>
      </c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2.75">
      <c r="A141" s="74" t="s">
        <v>475</v>
      </c>
      <c r="B141" s="64">
        <v>45930</v>
      </c>
      <c r="C141" s="63" t="s">
        <v>476</v>
      </c>
      <c r="D141" s="63" t="s">
        <v>309</v>
      </c>
      <c r="E141" s="63" t="s">
        <v>477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2.75">
      <c r="A142" s="72" t="s">
        <v>478</v>
      </c>
      <c r="B142" s="67">
        <v>45930</v>
      </c>
      <c r="C142" s="66" t="s">
        <v>158</v>
      </c>
      <c r="D142" s="66" t="s">
        <v>309</v>
      </c>
      <c r="E142" s="66" t="s">
        <v>479</v>
      </c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2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2.7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2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2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2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2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2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2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2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2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2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2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2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</sheetData>
  <mergeCells count="35">
    <mergeCell ref="B1:C1"/>
    <mergeCell ref="D1:E1"/>
    <mergeCell ref="B2:C2"/>
    <mergeCell ref="D2:E2"/>
    <mergeCell ref="B3:C3"/>
    <mergeCell ref="D3:E3"/>
    <mergeCell ref="D4:E4"/>
    <mergeCell ref="B11:C11"/>
    <mergeCell ref="B12:C12"/>
    <mergeCell ref="B13:C13"/>
    <mergeCell ref="B14:C14"/>
    <mergeCell ref="D12:E12"/>
    <mergeCell ref="D13:E13"/>
    <mergeCell ref="D14:E14"/>
    <mergeCell ref="B15:C15"/>
    <mergeCell ref="B16:C16"/>
    <mergeCell ref="B17:C17"/>
    <mergeCell ref="B4:C4"/>
    <mergeCell ref="B5:C5"/>
    <mergeCell ref="B6:C6"/>
    <mergeCell ref="B7:C7"/>
    <mergeCell ref="B8:C8"/>
    <mergeCell ref="B9:C9"/>
    <mergeCell ref="B10:C10"/>
    <mergeCell ref="D15:E15"/>
    <mergeCell ref="D16:E16"/>
    <mergeCell ref="D17:E17"/>
    <mergeCell ref="K53:L53"/>
    <mergeCell ref="D5:E5"/>
    <mergeCell ref="D6:E6"/>
    <mergeCell ref="D7:E7"/>
    <mergeCell ref="D8:E8"/>
    <mergeCell ref="D9:E9"/>
    <mergeCell ref="D10:E10"/>
    <mergeCell ref="D11:E11"/>
  </mergeCells>
  <conditionalFormatting sqref="G2:G9 I2:I9">
    <cfRule type="notContainsBlanks" dxfId="7" priority="1">
      <formula>LEN(TRIM(G2))&gt;0</formula>
    </cfRule>
  </conditionalFormatting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E962"/>
  <sheetViews>
    <sheetView workbookViewId="0"/>
  </sheetViews>
  <sheetFormatPr defaultColWidth="12.5703125" defaultRowHeight="15.75" customHeight="1"/>
  <cols>
    <col min="1" max="1" width="72.7109375" customWidth="1"/>
    <col min="2" max="2" width="21.42578125" customWidth="1"/>
    <col min="3" max="3" width="38.28515625" customWidth="1"/>
    <col min="4" max="4" width="10.42578125" customWidth="1"/>
    <col min="5" max="5" width="16.42578125" customWidth="1"/>
    <col min="6" max="6" width="18.42578125" customWidth="1"/>
    <col min="7" max="7" width="14.85546875" customWidth="1"/>
    <col min="8" max="8" width="14.5703125" customWidth="1"/>
    <col min="9" max="9" width="21.42578125" customWidth="1"/>
    <col min="10" max="11" width="14.7109375" customWidth="1"/>
    <col min="12" max="12" width="13.28515625" customWidth="1"/>
    <col min="13" max="13" width="12.7109375" customWidth="1"/>
    <col min="14" max="14" width="15" customWidth="1"/>
    <col min="15" max="15" width="14" customWidth="1"/>
    <col min="16" max="16" width="14.85546875" customWidth="1"/>
  </cols>
  <sheetData>
    <row r="1" spans="1:25" ht="26.25">
      <c r="A1" s="4" t="s">
        <v>480</v>
      </c>
      <c r="B1" s="252" t="s">
        <v>481</v>
      </c>
      <c r="C1" s="272"/>
      <c r="D1" s="253"/>
      <c r="E1" s="252" t="s">
        <v>482</v>
      </c>
      <c r="F1" s="253"/>
      <c r="G1" s="5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7.25" customHeight="1">
      <c r="A2" s="8" t="s">
        <v>483</v>
      </c>
      <c r="B2" s="257">
        <v>3.9594907407407405E-2</v>
      </c>
      <c r="C2" s="270"/>
      <c r="D2" s="243"/>
      <c r="E2" s="257">
        <v>4.0555555555555553E-2</v>
      </c>
      <c r="F2" s="243"/>
      <c r="G2" s="46">
        <v>4.0081018518518516E-2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484</v>
      </c>
      <c r="B3" s="257">
        <v>2.4189814814814816E-3</v>
      </c>
      <c r="C3" s="270"/>
      <c r="D3" s="243"/>
      <c r="E3" s="257">
        <v>1.5509259259259259E-3</v>
      </c>
      <c r="F3" s="243"/>
      <c r="G3" s="46">
        <v>1.9907407407407408E-3</v>
      </c>
      <c r="H3" s="7"/>
      <c r="I3" s="7"/>
      <c r="J3" s="7"/>
      <c r="K3" s="7"/>
      <c r="L3" s="7"/>
      <c r="M3" s="7"/>
      <c r="N3" s="7"/>
      <c r="O3" s="7"/>
      <c r="P3" s="7"/>
      <c r="Q3" s="47" t="s">
        <v>47</v>
      </c>
      <c r="R3" s="7" t="s">
        <v>48</v>
      </c>
      <c r="S3" s="7"/>
      <c r="T3" s="7"/>
      <c r="U3" s="7"/>
      <c r="V3" s="7"/>
      <c r="W3" s="7"/>
      <c r="X3" s="7"/>
      <c r="Y3" s="7"/>
    </row>
    <row r="4" spans="1:25">
      <c r="A4" s="8" t="s">
        <v>485</v>
      </c>
      <c r="B4" s="257">
        <v>1.8981481481481482E-3</v>
      </c>
      <c r="C4" s="270"/>
      <c r="D4" s="243"/>
      <c r="E4" s="257">
        <v>2.6967592592592594E-3</v>
      </c>
      <c r="F4" s="243"/>
      <c r="G4" s="46">
        <v>2.3032407407407407E-3</v>
      </c>
      <c r="H4" s="7"/>
      <c r="I4" s="7"/>
      <c r="J4" s="7"/>
      <c r="K4" s="7"/>
      <c r="L4" s="7"/>
      <c r="M4" s="7"/>
      <c r="N4" s="7"/>
      <c r="O4" s="7"/>
      <c r="P4" s="7"/>
      <c r="Q4" s="48" t="s">
        <v>50</v>
      </c>
      <c r="R4" s="7" t="s">
        <v>51</v>
      </c>
      <c r="S4" s="7"/>
      <c r="T4" s="7"/>
      <c r="U4" s="7"/>
      <c r="V4" s="7"/>
      <c r="W4" s="7"/>
      <c r="X4" s="7"/>
      <c r="Y4" s="7"/>
    </row>
    <row r="5" spans="1:25">
      <c r="A5" s="8" t="s">
        <v>486</v>
      </c>
      <c r="B5" s="257">
        <v>3.1828703703703702E-3</v>
      </c>
      <c r="C5" s="270"/>
      <c r="D5" s="243"/>
      <c r="E5" s="257">
        <v>2.5347222222222221E-3</v>
      </c>
      <c r="F5" s="243"/>
      <c r="G5" s="46">
        <v>2.8587962962962963E-3</v>
      </c>
      <c r="H5" s="7"/>
      <c r="I5" s="7"/>
      <c r="J5" s="7"/>
      <c r="K5" s="7"/>
      <c r="L5" s="7"/>
      <c r="M5" s="7"/>
      <c r="N5" s="7"/>
      <c r="O5" s="7"/>
      <c r="P5" s="7"/>
      <c r="Q5" s="49" t="s">
        <v>53</v>
      </c>
      <c r="R5" s="7" t="s">
        <v>54</v>
      </c>
      <c r="S5" s="7"/>
      <c r="T5" s="7"/>
      <c r="U5" s="7"/>
      <c r="V5" s="7"/>
      <c r="W5" s="7"/>
      <c r="X5" s="7"/>
      <c r="Y5" s="7"/>
    </row>
    <row r="6" spans="1:25">
      <c r="A6" s="8" t="s">
        <v>487</v>
      </c>
      <c r="B6" s="256" t="s">
        <v>488</v>
      </c>
      <c r="C6" s="270"/>
      <c r="D6" s="243"/>
      <c r="E6" s="256" t="s">
        <v>489</v>
      </c>
      <c r="F6" s="243"/>
      <c r="G6" s="51" t="s">
        <v>490</v>
      </c>
      <c r="H6" s="7"/>
      <c r="I6" s="7"/>
      <c r="J6" s="7"/>
      <c r="K6" s="7"/>
      <c r="L6" s="7"/>
      <c r="M6" s="7"/>
      <c r="N6" s="7"/>
      <c r="O6" s="7"/>
      <c r="P6" s="7"/>
      <c r="Q6" s="52" t="s">
        <v>56</v>
      </c>
      <c r="R6" s="7" t="s">
        <v>57</v>
      </c>
      <c r="S6" s="7"/>
      <c r="T6" s="7"/>
      <c r="U6" s="7"/>
      <c r="V6" s="7"/>
      <c r="W6" s="7"/>
      <c r="X6" s="7"/>
      <c r="Y6" s="7"/>
    </row>
    <row r="7" spans="1:25">
      <c r="A7" s="8" t="s">
        <v>491</v>
      </c>
      <c r="B7" s="256">
        <v>319</v>
      </c>
      <c r="C7" s="270"/>
      <c r="D7" s="243"/>
      <c r="E7" s="256">
        <v>402</v>
      </c>
      <c r="F7" s="243"/>
      <c r="G7" s="51">
        <v>721</v>
      </c>
      <c r="H7" s="7"/>
      <c r="I7" s="7"/>
      <c r="J7" s="7"/>
      <c r="K7" s="7"/>
      <c r="L7" s="7"/>
      <c r="M7" s="7"/>
      <c r="N7" s="7"/>
      <c r="O7" s="7"/>
      <c r="P7" s="7"/>
      <c r="Q7" s="52"/>
      <c r="R7" s="7"/>
      <c r="S7" s="7"/>
      <c r="T7" s="7"/>
      <c r="U7" s="7"/>
      <c r="V7" s="7"/>
      <c r="W7" s="7"/>
      <c r="X7" s="7"/>
      <c r="Y7" s="7"/>
    </row>
    <row r="8" spans="1:25" ht="15">
      <c r="A8" s="8" t="s">
        <v>59</v>
      </c>
      <c r="B8" s="258">
        <v>0.99</v>
      </c>
      <c r="C8" s="270"/>
      <c r="D8" s="243"/>
      <c r="E8" s="258">
        <v>0.98</v>
      </c>
      <c r="F8" s="243"/>
      <c r="G8" s="53">
        <v>0.99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>
      <c r="A9" s="8" t="s">
        <v>60</v>
      </c>
      <c r="B9" s="255">
        <v>1037</v>
      </c>
      <c r="C9" s="270"/>
      <c r="D9" s="243"/>
      <c r="E9" s="255">
        <v>1455</v>
      </c>
      <c r="F9" s="243"/>
      <c r="G9" s="54">
        <v>2492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492</v>
      </c>
      <c r="B10" s="258">
        <v>0.98</v>
      </c>
      <c r="C10" s="270"/>
      <c r="D10" s="243"/>
      <c r="E10" s="258">
        <v>0.99</v>
      </c>
      <c r="F10" s="243"/>
      <c r="G10" s="53">
        <v>0.99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493</v>
      </c>
      <c r="B11" s="255">
        <v>1096</v>
      </c>
      <c r="C11" s="270"/>
      <c r="D11" s="243"/>
      <c r="E11" s="255">
        <v>930</v>
      </c>
      <c r="F11" s="243"/>
      <c r="G11" s="55" t="s">
        <v>494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8" t="s">
        <v>495</v>
      </c>
      <c r="B12" s="274">
        <v>1630</v>
      </c>
      <c r="C12" s="272"/>
      <c r="D12" s="253"/>
      <c r="E12" s="255">
        <v>2001</v>
      </c>
      <c r="F12" s="243"/>
      <c r="G12" s="54">
        <v>3631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5">
      <c r="A13" s="8" t="s">
        <v>496</v>
      </c>
      <c r="B13" s="255">
        <v>2726</v>
      </c>
      <c r="C13" s="270"/>
      <c r="D13" s="243"/>
      <c r="E13" s="259" t="s">
        <v>497</v>
      </c>
      <c r="F13" s="243"/>
      <c r="G13" s="55" t="s">
        <v>498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5">
      <c r="A14" s="8" t="s">
        <v>499</v>
      </c>
      <c r="B14" s="259" t="s">
        <v>500</v>
      </c>
      <c r="C14" s="270"/>
      <c r="D14" s="243"/>
      <c r="E14" s="259"/>
      <c r="F14" s="243"/>
      <c r="G14" s="5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5">
      <c r="A15" s="8" t="s">
        <v>501</v>
      </c>
      <c r="B15" s="259" t="s">
        <v>502</v>
      </c>
      <c r="C15" s="270"/>
      <c r="D15" s="243"/>
      <c r="E15" s="258">
        <v>0.97</v>
      </c>
      <c r="F15" s="243"/>
      <c r="G15" s="53">
        <v>0.97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>
      <c r="A16" s="8" t="s">
        <v>74</v>
      </c>
      <c r="B16" s="254">
        <v>3.95E-2</v>
      </c>
      <c r="C16" s="270"/>
      <c r="D16" s="243"/>
      <c r="E16" s="254">
        <v>4.24E-2</v>
      </c>
      <c r="F16" s="243"/>
      <c r="G16" s="56">
        <v>8.1699999999999995E-2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31">
      <c r="A17" s="8" t="s">
        <v>503</v>
      </c>
      <c r="B17" s="255">
        <v>69061</v>
      </c>
      <c r="C17" s="270"/>
      <c r="D17" s="243"/>
      <c r="E17" s="255">
        <v>69202</v>
      </c>
      <c r="F17" s="243"/>
      <c r="G17" s="54">
        <v>69202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31" ht="15">
      <c r="A18" s="8" t="s">
        <v>200</v>
      </c>
      <c r="B18" s="271" t="s">
        <v>504</v>
      </c>
      <c r="C18" s="272"/>
      <c r="D18" s="253"/>
      <c r="E18" s="50">
        <v>12</v>
      </c>
      <c r="F18" s="51">
        <v>0</v>
      </c>
      <c r="G18" s="54">
        <v>23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31">
      <c r="A19" s="16" t="s">
        <v>77</v>
      </c>
      <c r="B19" s="17" t="s">
        <v>133</v>
      </c>
      <c r="C19" s="17" t="s">
        <v>505</v>
      </c>
      <c r="D19" s="17" t="s">
        <v>31</v>
      </c>
      <c r="E19" s="18" t="s">
        <v>32</v>
      </c>
      <c r="F19" s="18" t="s">
        <v>33</v>
      </c>
      <c r="G19" s="18" t="s">
        <v>34</v>
      </c>
      <c r="I19" s="100" t="s">
        <v>201</v>
      </c>
      <c r="J19" s="17" t="s">
        <v>506</v>
      </c>
      <c r="K19" s="81" t="s">
        <v>507</v>
      </c>
      <c r="L19" s="101" t="s">
        <v>31</v>
      </c>
      <c r="M19" s="81" t="s">
        <v>32</v>
      </c>
      <c r="N19" s="81" t="s">
        <v>33</v>
      </c>
      <c r="O19" s="81" t="s">
        <v>34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31" ht="12.75">
      <c r="A20" s="20" t="s">
        <v>30</v>
      </c>
      <c r="B20" s="80" t="s">
        <v>8</v>
      </c>
      <c r="C20" s="80" t="s">
        <v>8</v>
      </c>
      <c r="D20" s="80" t="s">
        <v>8</v>
      </c>
      <c r="E20" s="81">
        <v>3</v>
      </c>
      <c r="F20" s="80">
        <v>197</v>
      </c>
      <c r="G20" s="81">
        <v>36</v>
      </c>
      <c r="I20" s="20" t="s">
        <v>9</v>
      </c>
      <c r="J20" s="80" t="s">
        <v>8</v>
      </c>
      <c r="K20" s="102">
        <v>38</v>
      </c>
      <c r="L20" s="80" t="s">
        <v>8</v>
      </c>
      <c r="M20" s="81">
        <v>32</v>
      </c>
      <c r="N20" s="80">
        <v>220</v>
      </c>
      <c r="O20" s="81">
        <v>18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31" ht="12.75">
      <c r="A21" s="31" t="s">
        <v>28</v>
      </c>
      <c r="B21" s="103"/>
      <c r="C21" s="80" t="s">
        <v>8</v>
      </c>
      <c r="D21" s="104"/>
      <c r="E21" s="21">
        <v>141</v>
      </c>
      <c r="F21" s="57">
        <v>0</v>
      </c>
      <c r="G21" s="21" t="s">
        <v>508</v>
      </c>
      <c r="I21" s="105" t="s">
        <v>215</v>
      </c>
      <c r="J21" s="21"/>
      <c r="K21" s="12">
        <v>0</v>
      </c>
      <c r="L21" s="12"/>
      <c r="M21" s="21">
        <v>43</v>
      </c>
      <c r="N21" s="57">
        <v>177</v>
      </c>
      <c r="O21" s="33">
        <v>8</v>
      </c>
      <c r="Q21" s="10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2.75">
      <c r="A22" s="20" t="s">
        <v>26</v>
      </c>
      <c r="B22" s="80" t="s">
        <v>8</v>
      </c>
      <c r="C22" s="80" t="s">
        <v>8</v>
      </c>
      <c r="D22" s="80" t="s">
        <v>8</v>
      </c>
      <c r="E22" s="81">
        <v>11</v>
      </c>
      <c r="F22" s="80">
        <v>41</v>
      </c>
      <c r="G22" s="81">
        <v>7</v>
      </c>
      <c r="I22" s="20" t="s">
        <v>10</v>
      </c>
      <c r="J22" s="80" t="s">
        <v>8</v>
      </c>
      <c r="K22" s="12">
        <v>10</v>
      </c>
      <c r="L22" s="80" t="s">
        <v>8</v>
      </c>
      <c r="M22" s="81">
        <v>11</v>
      </c>
      <c r="N22" s="80">
        <v>11</v>
      </c>
      <c r="O22" s="81">
        <v>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31" ht="12.75">
      <c r="A23" s="20" t="s">
        <v>25</v>
      </c>
      <c r="B23" s="80" t="s">
        <v>8</v>
      </c>
      <c r="C23" s="80" t="s">
        <v>8</v>
      </c>
      <c r="D23" s="80" t="s">
        <v>8</v>
      </c>
      <c r="E23" s="81">
        <v>14</v>
      </c>
      <c r="F23" s="80">
        <v>221</v>
      </c>
      <c r="G23" s="81">
        <v>144</v>
      </c>
      <c r="I23" s="20" t="s">
        <v>25</v>
      </c>
      <c r="J23" s="80" t="s">
        <v>8</v>
      </c>
      <c r="K23" s="12">
        <v>31</v>
      </c>
      <c r="L23" s="80" t="s">
        <v>8</v>
      </c>
      <c r="M23" s="81">
        <v>17</v>
      </c>
      <c r="N23" s="80">
        <v>119</v>
      </c>
      <c r="O23" s="81">
        <v>54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31" ht="12.75">
      <c r="A24" s="20" t="s">
        <v>18</v>
      </c>
      <c r="B24" s="80" t="s">
        <v>8</v>
      </c>
      <c r="C24" s="80" t="s">
        <v>8</v>
      </c>
      <c r="D24" s="80" t="s">
        <v>8</v>
      </c>
      <c r="E24" s="81">
        <v>3</v>
      </c>
      <c r="F24" s="80">
        <v>0</v>
      </c>
      <c r="G24" s="80">
        <v>0</v>
      </c>
      <c r="I24" s="20" t="s">
        <v>11</v>
      </c>
      <c r="J24" s="80" t="s">
        <v>8</v>
      </c>
      <c r="K24" s="12">
        <v>0</v>
      </c>
      <c r="L24" s="80" t="s">
        <v>8</v>
      </c>
      <c r="M24" s="81">
        <v>1</v>
      </c>
      <c r="N24" s="80">
        <v>0</v>
      </c>
      <c r="O24" s="80">
        <v>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31" ht="12.75">
      <c r="A25" s="20" t="s">
        <v>12</v>
      </c>
      <c r="B25" s="80" t="s">
        <v>8</v>
      </c>
      <c r="C25" s="80" t="s">
        <v>8</v>
      </c>
      <c r="D25" s="80" t="s">
        <v>8</v>
      </c>
      <c r="E25" s="81">
        <v>6</v>
      </c>
      <c r="F25" s="80">
        <v>77</v>
      </c>
      <c r="G25" s="81">
        <v>32</v>
      </c>
      <c r="I25" s="20" t="s">
        <v>12</v>
      </c>
      <c r="J25" s="80" t="s">
        <v>8</v>
      </c>
      <c r="K25" s="12">
        <v>8</v>
      </c>
      <c r="L25" s="80" t="s">
        <v>8</v>
      </c>
      <c r="M25" s="81">
        <v>19</v>
      </c>
      <c r="N25" s="80">
        <v>235</v>
      </c>
      <c r="O25" s="81">
        <v>53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31" ht="15.75" customHeight="1">
      <c r="A26" s="30" t="s">
        <v>19</v>
      </c>
      <c r="B26" s="80" t="s">
        <v>8</v>
      </c>
      <c r="C26" s="80" t="s">
        <v>8</v>
      </c>
      <c r="D26" s="80" t="s">
        <v>8</v>
      </c>
      <c r="E26" s="81">
        <v>3</v>
      </c>
      <c r="F26" s="80">
        <v>210</v>
      </c>
      <c r="G26" s="81">
        <v>72</v>
      </c>
      <c r="I26" s="30" t="s">
        <v>13</v>
      </c>
      <c r="J26" s="80" t="s">
        <v>8</v>
      </c>
      <c r="K26" s="12">
        <v>31</v>
      </c>
      <c r="L26" s="80" t="s">
        <v>8</v>
      </c>
      <c r="M26" s="81">
        <v>3</v>
      </c>
      <c r="N26" s="80">
        <v>331</v>
      </c>
      <c r="O26" s="81">
        <v>111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31" ht="39.75" customHeight="1">
      <c r="A27" s="16" t="s">
        <v>80</v>
      </c>
      <c r="B27" s="17" t="s">
        <v>133</v>
      </c>
      <c r="C27" s="17" t="s">
        <v>505</v>
      </c>
      <c r="D27" s="17" t="s">
        <v>31</v>
      </c>
      <c r="E27" s="18" t="s">
        <v>32</v>
      </c>
      <c r="F27" s="18" t="s">
        <v>81</v>
      </c>
      <c r="G27" s="18" t="s">
        <v>36</v>
      </c>
      <c r="H27" s="19" t="s">
        <v>35</v>
      </c>
      <c r="I27" s="16" t="s">
        <v>202</v>
      </c>
      <c r="J27" s="17" t="s">
        <v>506</v>
      </c>
      <c r="K27" s="17" t="s">
        <v>505</v>
      </c>
      <c r="L27" s="18" t="s">
        <v>32</v>
      </c>
      <c r="M27" s="17" t="s">
        <v>31</v>
      </c>
      <c r="N27" s="18" t="s">
        <v>134</v>
      </c>
      <c r="O27" s="18" t="s">
        <v>36</v>
      </c>
      <c r="P27" s="81" t="s">
        <v>35</v>
      </c>
      <c r="Q27" s="81" t="s">
        <v>203</v>
      </c>
    </row>
    <row r="28" spans="1:31" ht="12.75">
      <c r="A28" s="31" t="s">
        <v>21</v>
      </c>
      <c r="B28" s="21">
        <v>154</v>
      </c>
      <c r="C28" s="12">
        <v>592</v>
      </c>
      <c r="D28" s="107">
        <v>45781</v>
      </c>
      <c r="E28" s="12">
        <v>84</v>
      </c>
      <c r="F28" s="33">
        <v>5.6</v>
      </c>
      <c r="G28" s="57">
        <v>54.55</v>
      </c>
      <c r="H28" s="108">
        <v>3.2407407407407406E-3</v>
      </c>
      <c r="I28" s="31" t="s">
        <v>204</v>
      </c>
      <c r="J28" s="21">
        <v>148</v>
      </c>
      <c r="K28" s="21">
        <v>697</v>
      </c>
      <c r="L28" s="12">
        <v>92</v>
      </c>
      <c r="M28" s="21">
        <v>4.7</v>
      </c>
      <c r="N28" s="57">
        <v>6.13</v>
      </c>
      <c r="O28" s="33">
        <v>62.16</v>
      </c>
      <c r="P28" s="9">
        <v>4.6874999999999998E-3</v>
      </c>
      <c r="Q28" s="84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31" ht="12.75">
      <c r="A29" s="31" t="s">
        <v>24</v>
      </c>
      <c r="B29" s="90">
        <v>37</v>
      </c>
      <c r="C29" s="104">
        <v>419</v>
      </c>
      <c r="D29" s="107">
        <v>45781</v>
      </c>
      <c r="E29" s="12">
        <v>41</v>
      </c>
      <c r="F29" s="32">
        <v>2.73</v>
      </c>
      <c r="G29" s="58" t="s">
        <v>509</v>
      </c>
      <c r="H29" s="109">
        <v>2.2222222222222222E-3</v>
      </c>
      <c r="I29" s="31" t="s">
        <v>205</v>
      </c>
      <c r="J29" s="87">
        <v>28</v>
      </c>
      <c r="K29" s="21">
        <v>355</v>
      </c>
      <c r="L29" s="12">
        <v>25</v>
      </c>
      <c r="M29" s="21">
        <v>4.4000000000000004</v>
      </c>
      <c r="N29" s="58">
        <v>1.67</v>
      </c>
      <c r="O29" s="32">
        <v>89.29</v>
      </c>
      <c r="P29" s="9">
        <v>2.0717592592592593E-3</v>
      </c>
      <c r="Q29" s="86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31" ht="12.75">
      <c r="A30" s="31" t="s">
        <v>41</v>
      </c>
      <c r="B30" s="29">
        <v>65</v>
      </c>
      <c r="C30" s="104">
        <v>273</v>
      </c>
      <c r="D30" s="107">
        <v>45781</v>
      </c>
      <c r="E30" s="12">
        <v>23</v>
      </c>
      <c r="F30" s="33">
        <v>1.53</v>
      </c>
      <c r="G30" s="57">
        <v>35.380000000000003</v>
      </c>
      <c r="H30" s="109">
        <v>9.3749999999999997E-4</v>
      </c>
      <c r="I30" s="31" t="s">
        <v>206</v>
      </c>
      <c r="J30" s="21">
        <v>58</v>
      </c>
      <c r="K30" s="21">
        <v>324</v>
      </c>
      <c r="L30" s="12">
        <v>20</v>
      </c>
      <c r="M30" s="21">
        <v>4.7</v>
      </c>
      <c r="N30" s="57">
        <v>1.33</v>
      </c>
      <c r="O30" s="33">
        <v>34.479999999999997</v>
      </c>
      <c r="P30" s="9">
        <v>1.25E-3</v>
      </c>
      <c r="Q30" s="84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31" ht="12.75">
      <c r="A31" s="31" t="s">
        <v>135</v>
      </c>
      <c r="B31" s="29">
        <v>77</v>
      </c>
      <c r="C31" s="104">
        <v>343</v>
      </c>
      <c r="D31" s="107">
        <v>45720</v>
      </c>
      <c r="E31" s="12">
        <v>37</v>
      </c>
      <c r="F31" s="32">
        <v>2.4700000000000002</v>
      </c>
      <c r="G31" s="58">
        <v>48.05</v>
      </c>
      <c r="H31" s="109">
        <v>1.4120370370370369E-3</v>
      </c>
      <c r="I31" s="31" t="s">
        <v>208</v>
      </c>
      <c r="J31" s="21">
        <v>130</v>
      </c>
      <c r="K31" s="21">
        <v>516</v>
      </c>
      <c r="L31" s="12">
        <v>39</v>
      </c>
      <c r="M31" s="21">
        <v>4.5999999999999996</v>
      </c>
      <c r="N31" s="58">
        <v>2.6</v>
      </c>
      <c r="O31" s="32">
        <v>30</v>
      </c>
      <c r="P31" s="9">
        <v>3.5763888888888889E-3</v>
      </c>
      <c r="Q31" s="8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31" ht="12.75">
      <c r="A32" s="31" t="s">
        <v>209</v>
      </c>
      <c r="B32" s="103">
        <v>109</v>
      </c>
      <c r="C32" s="110">
        <v>972</v>
      </c>
      <c r="D32" s="107">
        <v>45781</v>
      </c>
      <c r="E32" s="12">
        <v>74</v>
      </c>
      <c r="F32" s="33">
        <v>4.93</v>
      </c>
      <c r="G32" s="57">
        <v>67.89</v>
      </c>
      <c r="H32" s="109">
        <v>2.0833333333333333E-3</v>
      </c>
      <c r="I32" s="31" t="s">
        <v>210</v>
      </c>
      <c r="J32" s="21">
        <v>183</v>
      </c>
      <c r="K32" s="21">
        <v>757</v>
      </c>
      <c r="L32" s="12">
        <v>60</v>
      </c>
      <c r="M32" s="21">
        <v>4.2</v>
      </c>
      <c r="N32" s="57">
        <v>4</v>
      </c>
      <c r="O32" s="33">
        <v>32.79</v>
      </c>
      <c r="P32" s="9">
        <v>2.0833333333333333E-3</v>
      </c>
      <c r="Q32" s="84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1" ht="12.75">
      <c r="A33" s="31" t="s">
        <v>86</v>
      </c>
      <c r="B33" s="29">
        <v>132</v>
      </c>
      <c r="C33" s="104">
        <v>236</v>
      </c>
      <c r="D33" s="107">
        <v>45781</v>
      </c>
      <c r="E33" s="12">
        <v>28</v>
      </c>
      <c r="F33" s="32">
        <v>1.87</v>
      </c>
      <c r="G33" s="58">
        <v>21.21</v>
      </c>
      <c r="H33" s="109">
        <v>2.2916666666666667E-3</v>
      </c>
      <c r="I33" s="31" t="s">
        <v>211</v>
      </c>
      <c r="J33" s="21">
        <v>142</v>
      </c>
      <c r="K33" s="21">
        <v>414</v>
      </c>
      <c r="L33" s="12">
        <v>27</v>
      </c>
      <c r="M33" s="21">
        <v>3.7</v>
      </c>
      <c r="N33" s="58">
        <v>1.8</v>
      </c>
      <c r="O33" s="32">
        <v>19.010000000000002</v>
      </c>
      <c r="P33" s="9">
        <v>3.2175925925925926E-3</v>
      </c>
      <c r="Q33" s="86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1" ht="12.75">
      <c r="A34" s="31" t="s">
        <v>87</v>
      </c>
      <c r="B34" s="103">
        <v>131</v>
      </c>
      <c r="C34" s="110">
        <v>476</v>
      </c>
      <c r="D34" s="107">
        <v>45781</v>
      </c>
      <c r="E34" s="12">
        <v>42</v>
      </c>
      <c r="F34" s="33">
        <v>2.8</v>
      </c>
      <c r="G34" s="57">
        <v>32.06</v>
      </c>
      <c r="H34" s="109">
        <v>1.1342592592592593E-3</v>
      </c>
      <c r="I34" s="31" t="s">
        <v>213</v>
      </c>
      <c r="J34" s="111">
        <v>143</v>
      </c>
      <c r="K34" s="111">
        <v>857</v>
      </c>
      <c r="L34" s="12">
        <v>39</v>
      </c>
      <c r="M34" s="21">
        <v>4.5999999999999996</v>
      </c>
      <c r="N34" s="57">
        <v>2.6</v>
      </c>
      <c r="O34" s="33">
        <v>27.27</v>
      </c>
      <c r="P34" s="9">
        <v>1.25E-3</v>
      </c>
      <c r="Q34" s="84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1" ht="12.75">
      <c r="A35" s="31" t="s">
        <v>23</v>
      </c>
      <c r="B35" s="29">
        <v>6</v>
      </c>
      <c r="C35" s="104">
        <v>49</v>
      </c>
      <c r="D35" s="82">
        <v>45842</v>
      </c>
      <c r="E35" s="12">
        <v>3</v>
      </c>
      <c r="F35" s="32">
        <v>0.2</v>
      </c>
      <c r="G35" s="58">
        <v>50</v>
      </c>
      <c r="H35" s="109">
        <v>6.134259259259259E-4</v>
      </c>
      <c r="I35" s="31" t="s">
        <v>214</v>
      </c>
      <c r="J35" s="21">
        <v>13</v>
      </c>
      <c r="K35" s="21">
        <v>58</v>
      </c>
      <c r="L35" s="12">
        <v>1</v>
      </c>
      <c r="M35" s="21">
        <v>4.5</v>
      </c>
      <c r="N35" s="58">
        <v>7.0000000000000007E-2</v>
      </c>
      <c r="O35" s="32">
        <v>7.69</v>
      </c>
      <c r="P35" s="9">
        <v>6.7129629629629625E-4</v>
      </c>
      <c r="Q35" s="8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1" ht="12.75">
      <c r="A36" s="31" t="s">
        <v>22</v>
      </c>
      <c r="B36" s="29">
        <v>26</v>
      </c>
      <c r="C36" s="104">
        <v>4</v>
      </c>
      <c r="D36" s="87">
        <v>3</v>
      </c>
      <c r="E36" s="12">
        <v>44</v>
      </c>
      <c r="F36" s="33">
        <v>2.93</v>
      </c>
      <c r="G36" s="57">
        <v>169.23</v>
      </c>
      <c r="H36" s="109">
        <v>3.2407407407407406E-4</v>
      </c>
      <c r="I36" s="31" t="s">
        <v>217</v>
      </c>
      <c r="J36" s="21">
        <v>39</v>
      </c>
      <c r="K36" s="21">
        <v>105</v>
      </c>
      <c r="L36" s="12" t="s">
        <v>510</v>
      </c>
      <c r="M36" s="12" t="s">
        <v>8</v>
      </c>
      <c r="N36" s="57">
        <v>5.87</v>
      </c>
      <c r="O36" s="33" t="s">
        <v>511</v>
      </c>
      <c r="P36" s="9">
        <v>1.3888888888888889E-3</v>
      </c>
      <c r="Q36" s="84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75">
      <c r="A37" s="31" t="s">
        <v>39</v>
      </c>
      <c r="B37" s="29">
        <v>91</v>
      </c>
      <c r="C37" s="104">
        <v>644</v>
      </c>
      <c r="D37" s="107">
        <v>45781</v>
      </c>
      <c r="E37" s="12">
        <v>56</v>
      </c>
      <c r="F37" s="32">
        <v>3.73</v>
      </c>
      <c r="G37" s="58">
        <v>61.54</v>
      </c>
      <c r="H37" s="109">
        <v>7.407407407407407E-4</v>
      </c>
      <c r="I37" s="31" t="s">
        <v>218</v>
      </c>
      <c r="J37" s="21">
        <v>130</v>
      </c>
      <c r="K37" s="21">
        <v>757</v>
      </c>
      <c r="L37" s="12">
        <v>47</v>
      </c>
      <c r="M37" s="21">
        <v>4.0999999999999996</v>
      </c>
      <c r="N37" s="58">
        <v>3.13</v>
      </c>
      <c r="O37" s="32">
        <v>36.15</v>
      </c>
      <c r="P37" s="9">
        <v>1.4120370370370369E-3</v>
      </c>
      <c r="Q37" s="8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75">
      <c r="A38" s="31" t="s">
        <v>90</v>
      </c>
      <c r="B38" s="29">
        <v>104</v>
      </c>
      <c r="C38" s="104">
        <v>538</v>
      </c>
      <c r="D38" s="112">
        <v>45903</v>
      </c>
      <c r="E38" s="12">
        <v>64</v>
      </c>
      <c r="F38" s="33">
        <v>4.2699999999999996</v>
      </c>
      <c r="G38" s="57">
        <v>61.54</v>
      </c>
      <c r="H38" s="109">
        <v>2.4652777777777776E-3</v>
      </c>
      <c r="I38" s="31" t="s">
        <v>219</v>
      </c>
      <c r="J38" s="29">
        <v>90</v>
      </c>
      <c r="K38" s="29">
        <v>714</v>
      </c>
      <c r="L38" s="12">
        <v>72</v>
      </c>
      <c r="M38" s="21">
        <v>3.9</v>
      </c>
      <c r="N38" s="57">
        <v>4.8</v>
      </c>
      <c r="O38" s="33">
        <v>80</v>
      </c>
      <c r="P38" s="9">
        <v>3.449074074074074E-3</v>
      </c>
      <c r="Q38" s="84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75">
      <c r="A39" s="31" t="s">
        <v>512</v>
      </c>
      <c r="B39" s="29">
        <v>38</v>
      </c>
      <c r="C39" s="104">
        <v>404</v>
      </c>
      <c r="D39" s="107">
        <v>45720</v>
      </c>
      <c r="E39" s="12">
        <v>26</v>
      </c>
      <c r="F39" s="32">
        <v>1.73</v>
      </c>
      <c r="G39" s="58">
        <v>68.42</v>
      </c>
      <c r="H39" s="109">
        <v>8.3333333333333339E-4</v>
      </c>
      <c r="I39" s="31" t="s">
        <v>221</v>
      </c>
      <c r="J39" s="21">
        <v>50</v>
      </c>
      <c r="K39" s="21">
        <v>809</v>
      </c>
      <c r="L39" s="12">
        <v>43</v>
      </c>
      <c r="M39" s="21">
        <v>3.9</v>
      </c>
      <c r="N39" s="58">
        <v>2.87</v>
      </c>
      <c r="O39" s="32">
        <v>86</v>
      </c>
      <c r="P39" s="9">
        <v>1.5393518518518519E-3</v>
      </c>
      <c r="Q39" s="8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>
      <c r="A40" s="31" t="s">
        <v>40</v>
      </c>
      <c r="B40" s="29">
        <v>82</v>
      </c>
      <c r="C40" s="104">
        <v>452</v>
      </c>
      <c r="D40" s="107">
        <v>45720</v>
      </c>
      <c r="E40" s="12">
        <v>43</v>
      </c>
      <c r="F40" s="33">
        <v>2.87</v>
      </c>
      <c r="G40" s="57">
        <v>52.44</v>
      </c>
      <c r="H40" s="109">
        <v>1.4699074074074074E-3</v>
      </c>
      <c r="I40" s="31" t="s">
        <v>223</v>
      </c>
      <c r="J40" s="21">
        <v>76</v>
      </c>
      <c r="K40" s="21">
        <v>407</v>
      </c>
      <c r="L40" s="12">
        <v>52</v>
      </c>
      <c r="M40" s="21">
        <v>4.3</v>
      </c>
      <c r="N40" s="57">
        <v>3.47</v>
      </c>
      <c r="O40" s="33">
        <v>68.42</v>
      </c>
      <c r="P40" s="9">
        <v>1.0300925925925926E-3</v>
      </c>
      <c r="Q40" s="84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>
      <c r="A41" s="31" t="s">
        <v>137</v>
      </c>
      <c r="B41" s="21">
        <v>140</v>
      </c>
      <c r="C41" s="12">
        <v>324</v>
      </c>
      <c r="D41" s="107">
        <v>45781</v>
      </c>
      <c r="E41" s="12">
        <v>27</v>
      </c>
      <c r="F41" s="32">
        <v>1.8</v>
      </c>
      <c r="G41" s="58">
        <v>19.29</v>
      </c>
      <c r="H41" s="109">
        <v>2.6041666666666665E-3</v>
      </c>
      <c r="I41" s="31" t="s">
        <v>224</v>
      </c>
      <c r="J41" s="21">
        <v>127</v>
      </c>
      <c r="K41" s="21">
        <v>520</v>
      </c>
      <c r="L41" s="12">
        <v>37</v>
      </c>
      <c r="M41" s="21">
        <v>4.0999999999999996</v>
      </c>
      <c r="N41" s="58">
        <v>2.4700000000000002</v>
      </c>
      <c r="O41" s="32">
        <v>29.13</v>
      </c>
      <c r="P41" s="9">
        <v>5.6828703703703702E-3</v>
      </c>
      <c r="Q41" s="8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>
      <c r="A42" s="31" t="s">
        <v>93</v>
      </c>
      <c r="B42" s="90">
        <v>27</v>
      </c>
      <c r="C42" s="104">
        <v>487</v>
      </c>
      <c r="D42" s="21">
        <v>4</v>
      </c>
      <c r="E42" s="12">
        <v>34</v>
      </c>
      <c r="F42" s="33">
        <v>2.27</v>
      </c>
      <c r="G42" s="57" t="s">
        <v>513</v>
      </c>
      <c r="H42" s="113">
        <v>6.0185185185185185E-3</v>
      </c>
      <c r="I42" s="31" t="s">
        <v>225</v>
      </c>
      <c r="J42" s="21">
        <v>16</v>
      </c>
      <c r="K42" s="21">
        <v>409</v>
      </c>
      <c r="L42" s="12">
        <v>21</v>
      </c>
      <c r="M42" s="21">
        <v>4.5999999999999996</v>
      </c>
      <c r="N42" s="57">
        <v>1.4</v>
      </c>
      <c r="O42" s="33" t="s">
        <v>514</v>
      </c>
      <c r="P42" s="9">
        <v>5.3935185185185188E-3</v>
      </c>
      <c r="Q42" s="84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>
      <c r="A43" s="31" t="s">
        <v>515</v>
      </c>
      <c r="B43" s="29">
        <v>5</v>
      </c>
      <c r="C43" s="104">
        <v>212</v>
      </c>
      <c r="D43" s="107">
        <v>45692</v>
      </c>
      <c r="E43" s="12">
        <v>7</v>
      </c>
      <c r="F43" s="32">
        <v>0.47</v>
      </c>
      <c r="G43" s="58" t="s">
        <v>516</v>
      </c>
      <c r="H43" s="114">
        <v>1.1226851851851851E-3</v>
      </c>
      <c r="I43" s="31" t="s">
        <v>227</v>
      </c>
      <c r="J43" s="21">
        <v>16</v>
      </c>
      <c r="K43" s="21">
        <v>77</v>
      </c>
      <c r="L43" s="12">
        <v>2</v>
      </c>
      <c r="M43" s="21">
        <v>3.7</v>
      </c>
      <c r="N43" s="58">
        <v>0.13</v>
      </c>
      <c r="O43" s="32">
        <v>12.5</v>
      </c>
      <c r="P43" s="9">
        <v>4.3750000000000004E-3</v>
      </c>
      <c r="Q43" s="8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75">
      <c r="A44" s="31" t="s">
        <v>20</v>
      </c>
      <c r="B44" s="29">
        <v>141</v>
      </c>
      <c r="C44" s="104">
        <v>758</v>
      </c>
      <c r="D44" s="82">
        <v>45661</v>
      </c>
      <c r="E44" s="12">
        <v>82</v>
      </c>
      <c r="F44" s="33">
        <v>5.47</v>
      </c>
      <c r="G44" s="57">
        <v>58.16</v>
      </c>
      <c r="H44" s="109">
        <v>3.1134259259259257E-3</v>
      </c>
      <c r="I44" s="31" t="s">
        <v>228</v>
      </c>
      <c r="J44" s="29">
        <v>130</v>
      </c>
      <c r="K44" s="29">
        <v>618</v>
      </c>
      <c r="L44" s="12">
        <v>65</v>
      </c>
      <c r="M44" s="21">
        <v>4.4000000000000004</v>
      </c>
      <c r="N44" s="57">
        <v>4.33</v>
      </c>
      <c r="O44" s="33">
        <v>50</v>
      </c>
      <c r="P44" s="9">
        <v>4.0162037037037041E-3</v>
      </c>
      <c r="Q44" s="84"/>
      <c r="R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>
      <c r="A45" s="31" t="s">
        <v>27</v>
      </c>
      <c r="B45" s="29" t="s">
        <v>37</v>
      </c>
      <c r="C45" s="104" t="s">
        <v>37</v>
      </c>
      <c r="D45" s="29" t="s">
        <v>37</v>
      </c>
      <c r="E45" s="104" t="s">
        <v>37</v>
      </c>
      <c r="F45" s="21" t="s">
        <v>37</v>
      </c>
      <c r="G45" s="12" t="s">
        <v>37</v>
      </c>
      <c r="H45" s="29" t="s">
        <v>37</v>
      </c>
      <c r="I45" s="31" t="s">
        <v>14</v>
      </c>
      <c r="J45" s="21">
        <v>9</v>
      </c>
      <c r="K45" s="21">
        <v>67</v>
      </c>
      <c r="L45" s="12">
        <v>3</v>
      </c>
      <c r="M45" s="21">
        <v>4.7</v>
      </c>
      <c r="N45" s="58">
        <v>0.2</v>
      </c>
      <c r="O45" s="32">
        <v>33.33</v>
      </c>
      <c r="P45" s="9">
        <v>3.9351851851851852E-4</v>
      </c>
      <c r="Q45" s="8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>
      <c r="A46" s="31" t="s">
        <v>38</v>
      </c>
      <c r="B46" s="29">
        <v>107</v>
      </c>
      <c r="C46" s="104">
        <v>444</v>
      </c>
      <c r="D46" s="82">
        <v>45842</v>
      </c>
      <c r="E46" s="12">
        <v>50</v>
      </c>
      <c r="F46" s="33">
        <v>3.33</v>
      </c>
      <c r="G46" s="57">
        <v>46.73</v>
      </c>
      <c r="H46" s="109">
        <v>1.6203703703703703E-3</v>
      </c>
      <c r="I46" s="31" t="s">
        <v>229</v>
      </c>
      <c r="J46" s="21">
        <v>127</v>
      </c>
      <c r="K46" s="21">
        <v>544</v>
      </c>
      <c r="L46" s="12">
        <v>44</v>
      </c>
      <c r="M46" s="21">
        <v>4.4000000000000004</v>
      </c>
      <c r="N46" s="57">
        <v>2.93</v>
      </c>
      <c r="O46" s="33">
        <v>34.65</v>
      </c>
      <c r="P46" s="9">
        <v>1.9675925925925924E-3</v>
      </c>
      <c r="Q46" s="84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>
      <c r="A47" s="31" t="s">
        <v>96</v>
      </c>
      <c r="B47" s="29">
        <v>75</v>
      </c>
      <c r="C47" s="104">
        <v>477</v>
      </c>
      <c r="D47" s="82">
        <v>45661</v>
      </c>
      <c r="E47" s="12">
        <v>43</v>
      </c>
      <c r="F47" s="32">
        <v>2.87</v>
      </c>
      <c r="G47" s="58">
        <v>57.33</v>
      </c>
      <c r="H47" s="109">
        <v>3.1597222222222222E-3</v>
      </c>
      <c r="I47" s="31" t="s">
        <v>231</v>
      </c>
      <c r="J47" s="21">
        <v>45</v>
      </c>
      <c r="K47" s="21">
        <v>228</v>
      </c>
      <c r="L47" s="12" t="s">
        <v>517</v>
      </c>
      <c r="M47" s="21">
        <v>4.4000000000000004</v>
      </c>
      <c r="N47" s="58">
        <v>3.53</v>
      </c>
      <c r="O47" s="32" t="s">
        <v>518</v>
      </c>
      <c r="P47" s="9">
        <v>3.9814814814814817E-3</v>
      </c>
      <c r="Q47" s="8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>
      <c r="A48" s="31" t="s">
        <v>519</v>
      </c>
      <c r="B48" s="29">
        <v>11</v>
      </c>
      <c r="C48" s="104">
        <v>303</v>
      </c>
      <c r="D48" s="82">
        <v>45842</v>
      </c>
      <c r="E48" s="12">
        <v>25</v>
      </c>
      <c r="F48" s="33">
        <v>1.67</v>
      </c>
      <c r="G48" s="57">
        <v>227.27</v>
      </c>
      <c r="H48" s="114">
        <v>7.8703703703703705E-4</v>
      </c>
      <c r="I48" s="31" t="s">
        <v>520</v>
      </c>
      <c r="J48" s="21">
        <v>15</v>
      </c>
      <c r="K48" s="21">
        <v>559</v>
      </c>
      <c r="L48" s="12">
        <v>28</v>
      </c>
      <c r="M48" s="21">
        <v>4.4000000000000004</v>
      </c>
      <c r="N48" s="57">
        <v>1.87</v>
      </c>
      <c r="O48" s="33" t="s">
        <v>521</v>
      </c>
      <c r="P48" s="9">
        <v>1.8287037037037037E-3</v>
      </c>
      <c r="Q48" s="8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75">
      <c r="A49" s="31" t="s">
        <v>522</v>
      </c>
      <c r="B49" s="29">
        <v>72</v>
      </c>
      <c r="C49" s="104">
        <v>285</v>
      </c>
      <c r="D49" s="107">
        <v>45781</v>
      </c>
      <c r="E49" s="12">
        <v>25</v>
      </c>
      <c r="F49" s="32">
        <v>1.67</v>
      </c>
      <c r="G49" s="58">
        <v>34.72</v>
      </c>
      <c r="H49" s="114">
        <v>2.2569444444444442E-3</v>
      </c>
      <c r="I49" s="31" t="s">
        <v>233</v>
      </c>
      <c r="J49" s="21">
        <v>88</v>
      </c>
      <c r="K49" s="21">
        <v>297</v>
      </c>
      <c r="L49" s="12">
        <v>30</v>
      </c>
      <c r="M49" s="21">
        <v>4.3</v>
      </c>
      <c r="N49" s="58">
        <v>2</v>
      </c>
      <c r="O49" s="32">
        <v>34.090000000000003</v>
      </c>
      <c r="P49" s="9">
        <v>4.5254629629629629E-3</v>
      </c>
      <c r="Q49" s="8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75">
      <c r="A50" s="31" t="s">
        <v>42</v>
      </c>
      <c r="B50" s="115" t="s">
        <v>523</v>
      </c>
      <c r="C50" s="116" t="s">
        <v>524</v>
      </c>
      <c r="D50" s="107">
        <v>45720</v>
      </c>
      <c r="E50" s="12">
        <v>57</v>
      </c>
      <c r="F50" s="33">
        <v>3.8</v>
      </c>
      <c r="G50" s="57">
        <v>36.31</v>
      </c>
      <c r="H50" s="109">
        <v>1.25E-3</v>
      </c>
      <c r="I50" s="31" t="s">
        <v>236</v>
      </c>
      <c r="J50" s="21">
        <v>198</v>
      </c>
      <c r="K50" s="21">
        <v>624</v>
      </c>
      <c r="L50" s="12">
        <v>57</v>
      </c>
      <c r="M50" s="21">
        <v>4.5</v>
      </c>
      <c r="N50" s="57">
        <v>3.8</v>
      </c>
      <c r="O50" s="33">
        <v>28.79</v>
      </c>
      <c r="P50" s="9">
        <v>2.2685185185185187E-3</v>
      </c>
      <c r="Q50" s="8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2.75">
      <c r="A51" s="39"/>
      <c r="B51" s="117">
        <v>1630</v>
      </c>
      <c r="C51" s="117">
        <v>8692</v>
      </c>
      <c r="D51" s="92" t="s">
        <v>525</v>
      </c>
      <c r="E51" s="117">
        <v>1096</v>
      </c>
      <c r="F51" s="39"/>
      <c r="G51" s="39"/>
      <c r="H51" s="38" t="s">
        <v>526</v>
      </c>
      <c r="I51" s="39"/>
      <c r="J51" s="117">
        <v>2001</v>
      </c>
      <c r="K51" s="92">
        <v>10.712999999999999</v>
      </c>
      <c r="L51" s="92">
        <v>930</v>
      </c>
      <c r="M51" s="92" t="s">
        <v>527</v>
      </c>
      <c r="N51" s="118"/>
      <c r="O51" s="118"/>
      <c r="P51" s="119" t="s">
        <v>528</v>
      </c>
      <c r="Q51" s="99"/>
    </row>
    <row r="52" spans="1:31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31" ht="18.75">
      <c r="A53" s="42" t="s">
        <v>110</v>
      </c>
      <c r="B53" s="43" t="s">
        <v>0</v>
      </c>
      <c r="C53" s="260" t="s">
        <v>5</v>
      </c>
      <c r="D53" s="241"/>
      <c r="E53" s="260" t="s">
        <v>6</v>
      </c>
      <c r="F53" s="241"/>
      <c r="G53" s="43" t="s">
        <v>17</v>
      </c>
      <c r="H53" s="43" t="s">
        <v>16</v>
      </c>
      <c r="I53" s="43" t="s">
        <v>1</v>
      </c>
      <c r="J53" s="260" t="s">
        <v>2</v>
      </c>
      <c r="K53" s="273"/>
      <c r="L53" s="241"/>
      <c r="M53" s="43" t="s">
        <v>7</v>
      </c>
      <c r="N53" s="43" t="s">
        <v>4</v>
      </c>
      <c r="O53" s="260" t="s">
        <v>3</v>
      </c>
      <c r="P53" s="241"/>
      <c r="Q53" s="39"/>
    </row>
    <row r="54" spans="1:31" ht="18.75">
      <c r="A54" s="42" t="s">
        <v>111</v>
      </c>
      <c r="B54" s="2">
        <v>17516</v>
      </c>
      <c r="C54" s="268">
        <v>9017</v>
      </c>
      <c r="D54" s="261"/>
      <c r="E54" s="268">
        <v>7349</v>
      </c>
      <c r="F54" s="261"/>
      <c r="G54" s="2">
        <v>4361</v>
      </c>
      <c r="H54" s="2">
        <v>8067</v>
      </c>
      <c r="I54" s="2">
        <v>4674</v>
      </c>
      <c r="J54" s="268">
        <v>5131</v>
      </c>
      <c r="K54" s="269"/>
      <c r="L54" s="261"/>
      <c r="M54" s="2">
        <v>1954</v>
      </c>
      <c r="N54" s="2">
        <v>5390</v>
      </c>
      <c r="O54" s="268">
        <v>5743</v>
      </c>
      <c r="P54" s="261"/>
      <c r="Q54" s="6"/>
    </row>
    <row r="55" spans="1:31" ht="12.7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1:31" ht="12.75">
      <c r="A56" s="62" t="s">
        <v>147</v>
      </c>
      <c r="B56" s="62" t="s">
        <v>148</v>
      </c>
      <c r="C56" s="93" t="s">
        <v>149</v>
      </c>
      <c r="D56" s="267" t="s">
        <v>246</v>
      </c>
      <c r="E56" s="263"/>
      <c r="F56" s="93" t="s">
        <v>247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2.75">
      <c r="A57" s="73" t="s">
        <v>529</v>
      </c>
      <c r="B57" s="67">
        <v>45931</v>
      </c>
      <c r="C57" s="66" t="s">
        <v>171</v>
      </c>
      <c r="D57" s="264" t="s">
        <v>530</v>
      </c>
      <c r="E57" s="263"/>
      <c r="F57" s="66" t="s">
        <v>531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2.75">
      <c r="A58" s="74" t="s">
        <v>532</v>
      </c>
      <c r="B58" s="64">
        <v>45931</v>
      </c>
      <c r="C58" s="95" t="s">
        <v>533</v>
      </c>
      <c r="D58" s="262" t="s">
        <v>534</v>
      </c>
      <c r="E58" s="263"/>
      <c r="F58" s="63" t="s">
        <v>535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75">
      <c r="A59" s="74" t="s">
        <v>536</v>
      </c>
      <c r="B59" s="67">
        <v>45931</v>
      </c>
      <c r="C59" s="94" t="s">
        <v>537</v>
      </c>
      <c r="D59" s="264" t="s">
        <v>272</v>
      </c>
      <c r="E59" s="263"/>
      <c r="F59" s="66" t="s">
        <v>538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>
      <c r="A60" s="63" t="s">
        <v>539</v>
      </c>
      <c r="B60" s="64">
        <v>45931</v>
      </c>
      <c r="C60" s="63" t="s">
        <v>540</v>
      </c>
      <c r="D60" s="262" t="s">
        <v>309</v>
      </c>
      <c r="E60" s="263"/>
      <c r="F60" s="63" t="s">
        <v>541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75">
      <c r="A61" s="72" t="s">
        <v>542</v>
      </c>
      <c r="B61" s="67">
        <v>45932</v>
      </c>
      <c r="C61" s="66" t="s">
        <v>392</v>
      </c>
      <c r="D61" s="264" t="s">
        <v>543</v>
      </c>
      <c r="E61" s="263"/>
      <c r="F61" s="66" t="s">
        <v>544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75">
      <c r="A62" s="72" t="s">
        <v>545</v>
      </c>
      <c r="B62" s="64">
        <v>45932</v>
      </c>
      <c r="C62" s="63" t="s">
        <v>398</v>
      </c>
      <c r="D62" s="262" t="s">
        <v>546</v>
      </c>
      <c r="E62" s="263"/>
      <c r="F62" s="63" t="s">
        <v>547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2.75">
      <c r="A63" s="72" t="s">
        <v>548</v>
      </c>
      <c r="B63" s="67">
        <v>45932</v>
      </c>
      <c r="C63" s="66" t="s">
        <v>398</v>
      </c>
      <c r="D63" s="264" t="s">
        <v>272</v>
      </c>
      <c r="E63" s="263"/>
      <c r="F63" s="66" t="s">
        <v>549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2.75">
      <c r="A64" s="63" t="s">
        <v>550</v>
      </c>
      <c r="B64" s="64">
        <v>45932</v>
      </c>
      <c r="C64" s="63" t="s">
        <v>392</v>
      </c>
      <c r="D64" s="262" t="s">
        <v>309</v>
      </c>
      <c r="E64" s="263"/>
      <c r="F64" s="63" t="s">
        <v>551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>
      <c r="A65" s="74" t="s">
        <v>552</v>
      </c>
      <c r="B65" s="67">
        <v>45932</v>
      </c>
      <c r="C65" s="66" t="s">
        <v>553</v>
      </c>
      <c r="D65" s="264" t="s">
        <v>309</v>
      </c>
      <c r="E65" s="263"/>
      <c r="F65" s="66" t="s">
        <v>554</v>
      </c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75">
      <c r="A66" s="63" t="s">
        <v>555</v>
      </c>
      <c r="B66" s="64">
        <v>45932</v>
      </c>
      <c r="C66" s="63" t="s">
        <v>556</v>
      </c>
      <c r="D66" s="262" t="s">
        <v>309</v>
      </c>
      <c r="E66" s="263"/>
      <c r="F66" s="63" t="s">
        <v>557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>
      <c r="A67" s="74" t="s">
        <v>558</v>
      </c>
      <c r="B67" s="67">
        <v>45932</v>
      </c>
      <c r="C67" s="66" t="s">
        <v>540</v>
      </c>
      <c r="D67" s="264" t="s">
        <v>272</v>
      </c>
      <c r="E67" s="263"/>
      <c r="F67" s="66" t="s">
        <v>559</v>
      </c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>
      <c r="A68" s="63" t="s">
        <v>560</v>
      </c>
      <c r="B68" s="64">
        <v>45932</v>
      </c>
      <c r="C68" s="74" t="s">
        <v>561</v>
      </c>
      <c r="D68" s="263"/>
      <c r="E68" s="263"/>
      <c r="F68" s="63" t="s">
        <v>562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>
      <c r="A69" s="66" t="s">
        <v>563</v>
      </c>
      <c r="B69" s="67">
        <v>45933</v>
      </c>
      <c r="C69" s="66" t="s">
        <v>564</v>
      </c>
      <c r="D69" s="264" t="s">
        <v>565</v>
      </c>
      <c r="E69" s="263"/>
      <c r="F69" s="66" t="s">
        <v>566</v>
      </c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>
      <c r="A70" s="63" t="s">
        <v>567</v>
      </c>
      <c r="B70" s="64">
        <v>45933</v>
      </c>
      <c r="C70" s="63" t="s">
        <v>158</v>
      </c>
      <c r="D70" s="262" t="s">
        <v>568</v>
      </c>
      <c r="E70" s="263"/>
      <c r="F70" s="63" t="s">
        <v>569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2.75">
      <c r="A71" s="74" t="s">
        <v>570</v>
      </c>
      <c r="B71" s="67">
        <v>45933</v>
      </c>
      <c r="C71" s="66" t="s">
        <v>533</v>
      </c>
      <c r="D71" s="264" t="s">
        <v>571</v>
      </c>
      <c r="E71" s="263"/>
      <c r="F71" s="66" t="s">
        <v>572</v>
      </c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75">
      <c r="A72" s="74" t="s">
        <v>573</v>
      </c>
      <c r="B72" s="64">
        <v>45933</v>
      </c>
      <c r="C72" s="63" t="s">
        <v>277</v>
      </c>
      <c r="D72" s="262" t="s">
        <v>275</v>
      </c>
      <c r="E72" s="263"/>
      <c r="F72" s="63" t="s">
        <v>574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>
      <c r="A73" s="66" t="s">
        <v>575</v>
      </c>
      <c r="B73" s="67">
        <v>45933</v>
      </c>
      <c r="C73" s="66" t="s">
        <v>533</v>
      </c>
      <c r="D73" s="264" t="s">
        <v>309</v>
      </c>
      <c r="E73" s="263"/>
      <c r="F73" s="66" t="s">
        <v>576</v>
      </c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>
      <c r="A74" s="74" t="s">
        <v>577</v>
      </c>
      <c r="B74" s="64">
        <v>45933</v>
      </c>
      <c r="C74" s="63" t="s">
        <v>540</v>
      </c>
      <c r="D74" s="262" t="s">
        <v>578</v>
      </c>
      <c r="E74" s="263"/>
      <c r="F74" s="63" t="s">
        <v>579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>
      <c r="A75" s="72" t="s">
        <v>580</v>
      </c>
      <c r="B75" s="67">
        <v>45933</v>
      </c>
      <c r="C75" s="72" t="s">
        <v>581</v>
      </c>
      <c r="D75" s="264" t="s">
        <v>582</v>
      </c>
      <c r="E75" s="263"/>
      <c r="F75" s="66" t="s">
        <v>583</v>
      </c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>
      <c r="A76" s="72" t="s">
        <v>584</v>
      </c>
      <c r="B76" s="64">
        <v>45933</v>
      </c>
      <c r="C76" s="63" t="s">
        <v>540</v>
      </c>
      <c r="D76" s="262" t="s">
        <v>309</v>
      </c>
      <c r="E76" s="263"/>
      <c r="F76" s="63" t="s">
        <v>585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>
      <c r="A77" s="66" t="s">
        <v>586</v>
      </c>
      <c r="B77" s="67">
        <v>45934</v>
      </c>
      <c r="C77" s="66" t="s">
        <v>587</v>
      </c>
      <c r="D77" s="264" t="s">
        <v>309</v>
      </c>
      <c r="E77" s="263"/>
      <c r="F77" s="66" t="s">
        <v>588</v>
      </c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>
      <c r="A78" s="63" t="s">
        <v>589</v>
      </c>
      <c r="B78" s="64">
        <v>45934</v>
      </c>
      <c r="C78" s="63" t="s">
        <v>564</v>
      </c>
      <c r="D78" s="262" t="s">
        <v>565</v>
      </c>
      <c r="E78" s="263"/>
      <c r="F78" s="63" t="s">
        <v>590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>
      <c r="A79" s="74" t="s">
        <v>591</v>
      </c>
      <c r="B79" s="67">
        <v>45934</v>
      </c>
      <c r="C79" s="66" t="s">
        <v>564</v>
      </c>
      <c r="D79" s="264" t="s">
        <v>272</v>
      </c>
      <c r="E79" s="263"/>
      <c r="F79" s="66" t="s">
        <v>592</v>
      </c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>
      <c r="A80" s="63" t="s">
        <v>593</v>
      </c>
      <c r="B80" s="64">
        <v>45935</v>
      </c>
      <c r="C80" s="63" t="s">
        <v>158</v>
      </c>
      <c r="D80" s="262" t="s">
        <v>309</v>
      </c>
      <c r="E80" s="263"/>
      <c r="F80" s="63" t="s">
        <v>594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>
      <c r="A81" s="66" t="s">
        <v>595</v>
      </c>
      <c r="B81" s="67">
        <v>45936</v>
      </c>
      <c r="C81" s="66" t="s">
        <v>596</v>
      </c>
      <c r="D81" s="264" t="s">
        <v>597</v>
      </c>
      <c r="E81" s="263"/>
      <c r="F81" s="66" t="s">
        <v>598</v>
      </c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>
      <c r="A82" s="63" t="s">
        <v>599</v>
      </c>
      <c r="B82" s="64">
        <v>45936</v>
      </c>
      <c r="C82" s="63" t="s">
        <v>158</v>
      </c>
      <c r="D82" s="262" t="s">
        <v>275</v>
      </c>
      <c r="E82" s="263"/>
      <c r="F82" s="63" t="s">
        <v>600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>
      <c r="A83" s="66" t="s">
        <v>601</v>
      </c>
      <c r="B83" s="67">
        <v>45936</v>
      </c>
      <c r="C83" s="66" t="s">
        <v>164</v>
      </c>
      <c r="D83" s="264" t="s">
        <v>602</v>
      </c>
      <c r="E83" s="263"/>
      <c r="F83" s="66" t="s">
        <v>603</v>
      </c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>
      <c r="A84" s="63" t="s">
        <v>604</v>
      </c>
      <c r="B84" s="64">
        <v>45936</v>
      </c>
      <c r="C84" s="63" t="s">
        <v>158</v>
      </c>
      <c r="D84" s="262" t="s">
        <v>605</v>
      </c>
      <c r="E84" s="263"/>
      <c r="F84" s="63" t="s">
        <v>606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>
      <c r="A85" s="66" t="s">
        <v>607</v>
      </c>
      <c r="B85" s="67">
        <v>45936</v>
      </c>
      <c r="C85" s="66" t="s">
        <v>608</v>
      </c>
      <c r="D85" s="264" t="s">
        <v>275</v>
      </c>
      <c r="E85" s="263"/>
      <c r="F85" s="66" t="s">
        <v>609</v>
      </c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>
      <c r="A86" s="63" t="s">
        <v>610</v>
      </c>
      <c r="B86" s="64">
        <v>45936</v>
      </c>
      <c r="C86" s="63" t="s">
        <v>611</v>
      </c>
      <c r="D86" s="262" t="s">
        <v>309</v>
      </c>
      <c r="E86" s="263"/>
      <c r="F86" s="63" t="s">
        <v>612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>
      <c r="A87" s="73" t="s">
        <v>613</v>
      </c>
      <c r="B87" s="67">
        <v>45937</v>
      </c>
      <c r="C87" s="66" t="s">
        <v>614</v>
      </c>
      <c r="D87" s="264" t="s">
        <v>615</v>
      </c>
      <c r="E87" s="263"/>
      <c r="F87" s="66" t="s">
        <v>616</v>
      </c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2.75">
      <c r="A88" s="74" t="s">
        <v>617</v>
      </c>
      <c r="B88" s="64">
        <v>45937</v>
      </c>
      <c r="C88" s="63" t="s">
        <v>164</v>
      </c>
      <c r="D88" s="262" t="s">
        <v>618</v>
      </c>
      <c r="E88" s="263"/>
      <c r="F88" s="63" t="s">
        <v>619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2.75">
      <c r="A89" s="74" t="s">
        <v>620</v>
      </c>
      <c r="B89" s="67">
        <v>45937</v>
      </c>
      <c r="C89" s="66" t="s">
        <v>164</v>
      </c>
      <c r="D89" s="264" t="s">
        <v>621</v>
      </c>
      <c r="E89" s="263"/>
      <c r="F89" s="66" t="s">
        <v>622</v>
      </c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2.75">
      <c r="A90" s="74" t="s">
        <v>623</v>
      </c>
      <c r="B90" s="64">
        <v>45937</v>
      </c>
      <c r="C90" s="63" t="s">
        <v>624</v>
      </c>
      <c r="D90" s="262" t="s">
        <v>625</v>
      </c>
      <c r="E90" s="263"/>
      <c r="F90" s="63" t="s">
        <v>626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75">
      <c r="A91" s="74" t="s">
        <v>627</v>
      </c>
      <c r="B91" s="67">
        <v>45938</v>
      </c>
      <c r="C91" s="66" t="s">
        <v>628</v>
      </c>
      <c r="D91" s="264" t="s">
        <v>629</v>
      </c>
      <c r="E91" s="263"/>
      <c r="F91" s="66" t="s">
        <v>630</v>
      </c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">
      <c r="A92" s="63" t="s">
        <v>631</v>
      </c>
      <c r="B92" s="120">
        <v>45939</v>
      </c>
      <c r="C92" s="63" t="s">
        <v>171</v>
      </c>
      <c r="D92" s="265" t="s">
        <v>629</v>
      </c>
      <c r="E92" s="263"/>
      <c r="F92" s="63" t="s">
        <v>632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">
      <c r="A93" s="66" t="s">
        <v>633</v>
      </c>
      <c r="B93" s="121">
        <v>45939</v>
      </c>
      <c r="C93" s="77" t="s">
        <v>634</v>
      </c>
      <c r="D93" s="264" t="s">
        <v>635</v>
      </c>
      <c r="E93" s="263"/>
      <c r="F93" s="66" t="s">
        <v>636</v>
      </c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2.75">
      <c r="A94" s="63" t="s">
        <v>637</v>
      </c>
      <c r="B94" s="120">
        <v>45940</v>
      </c>
      <c r="C94" s="63" t="s">
        <v>564</v>
      </c>
      <c r="D94" s="262" t="s">
        <v>546</v>
      </c>
      <c r="E94" s="263"/>
      <c r="F94" s="63" t="s">
        <v>638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>
      <c r="A95" s="66" t="s">
        <v>639</v>
      </c>
      <c r="B95" s="121">
        <v>45940</v>
      </c>
      <c r="C95" s="66" t="s">
        <v>277</v>
      </c>
      <c r="D95" s="264" t="s">
        <v>640</v>
      </c>
      <c r="E95" s="263"/>
      <c r="F95" s="66" t="s">
        <v>8</v>
      </c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>
      <c r="A96" s="63" t="s">
        <v>641</v>
      </c>
      <c r="B96" s="120">
        <v>45941</v>
      </c>
      <c r="C96" s="63" t="s">
        <v>171</v>
      </c>
      <c r="D96" s="262" t="s">
        <v>294</v>
      </c>
      <c r="E96" s="263"/>
      <c r="F96" s="63" t="s">
        <v>642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">
      <c r="A97" s="77" t="s">
        <v>643</v>
      </c>
      <c r="B97" s="121">
        <v>45941</v>
      </c>
      <c r="C97" s="66" t="s">
        <v>587</v>
      </c>
      <c r="D97" s="264" t="s">
        <v>309</v>
      </c>
      <c r="E97" s="263"/>
      <c r="F97" s="66" t="s">
        <v>644</v>
      </c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">
      <c r="A98" s="97" t="s">
        <v>645</v>
      </c>
      <c r="B98" s="120">
        <v>45941</v>
      </c>
      <c r="C98" s="63" t="s">
        <v>263</v>
      </c>
      <c r="D98" s="262" t="s">
        <v>646</v>
      </c>
      <c r="E98" s="263"/>
      <c r="F98" s="63" t="s">
        <v>647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">
      <c r="A99" s="97" t="s">
        <v>648</v>
      </c>
      <c r="B99" s="121">
        <v>45941</v>
      </c>
      <c r="C99" s="66" t="s">
        <v>158</v>
      </c>
      <c r="D99" s="264" t="s">
        <v>309</v>
      </c>
      <c r="E99" s="263"/>
      <c r="F99" s="66" t="s">
        <v>649</v>
      </c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>
      <c r="A100" s="63" t="s">
        <v>650</v>
      </c>
      <c r="B100" s="120">
        <v>45943</v>
      </c>
      <c r="C100" s="63" t="s">
        <v>596</v>
      </c>
      <c r="D100" s="262" t="s">
        <v>272</v>
      </c>
      <c r="E100" s="263"/>
      <c r="F100" s="63" t="s">
        <v>651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">
      <c r="A101" s="97" t="s">
        <v>652</v>
      </c>
      <c r="B101" s="121">
        <v>45943</v>
      </c>
      <c r="C101" s="66" t="s">
        <v>158</v>
      </c>
      <c r="D101" s="264" t="s">
        <v>653</v>
      </c>
      <c r="E101" s="263"/>
      <c r="F101" s="66" t="s">
        <v>654</v>
      </c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75">
      <c r="A102" s="63" t="s">
        <v>655</v>
      </c>
      <c r="B102" s="120">
        <v>45943</v>
      </c>
      <c r="C102" s="63" t="s">
        <v>608</v>
      </c>
      <c r="D102" s="262" t="s">
        <v>653</v>
      </c>
      <c r="E102" s="263"/>
      <c r="F102" s="63" t="s">
        <v>656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75">
      <c r="A103" s="66" t="s">
        <v>657</v>
      </c>
      <c r="B103" s="121">
        <v>45943</v>
      </c>
      <c r="C103" s="66" t="s">
        <v>365</v>
      </c>
      <c r="D103" s="264" t="s">
        <v>635</v>
      </c>
      <c r="E103" s="263"/>
      <c r="F103" s="66" t="s">
        <v>658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2.75">
      <c r="A104" s="63" t="s">
        <v>659</v>
      </c>
      <c r="B104" s="120">
        <v>45944</v>
      </c>
      <c r="C104" s="63" t="s">
        <v>660</v>
      </c>
      <c r="D104" s="262" t="s">
        <v>653</v>
      </c>
      <c r="E104" s="263"/>
      <c r="F104" s="63" t="s">
        <v>661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2.75">
      <c r="A105" s="66" t="s">
        <v>662</v>
      </c>
      <c r="B105" s="121">
        <v>45944</v>
      </c>
      <c r="C105" s="66" t="s">
        <v>171</v>
      </c>
      <c r="D105" s="264" t="s">
        <v>663</v>
      </c>
      <c r="E105" s="263"/>
      <c r="F105" s="66" t="s">
        <v>664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2.75">
      <c r="A106" s="63" t="s">
        <v>665</v>
      </c>
      <c r="B106" s="120">
        <v>45944</v>
      </c>
      <c r="C106" s="63" t="s">
        <v>158</v>
      </c>
      <c r="D106" s="262" t="s">
        <v>666</v>
      </c>
      <c r="E106" s="263"/>
      <c r="F106" s="63" t="s">
        <v>667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">
      <c r="A107" s="97" t="s">
        <v>668</v>
      </c>
      <c r="B107" s="121">
        <v>45944</v>
      </c>
      <c r="C107" s="66" t="s">
        <v>277</v>
      </c>
      <c r="D107" s="264" t="s">
        <v>275</v>
      </c>
      <c r="E107" s="263"/>
      <c r="F107" s="66" t="s">
        <v>669</v>
      </c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">
      <c r="A108" s="77" t="s">
        <v>670</v>
      </c>
      <c r="B108" s="120">
        <v>45945</v>
      </c>
      <c r="C108" s="63" t="s">
        <v>277</v>
      </c>
      <c r="D108" s="262" t="s">
        <v>666</v>
      </c>
      <c r="E108" s="263"/>
      <c r="F108" s="63" t="s">
        <v>671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>
      <c r="A109" s="66" t="s">
        <v>672</v>
      </c>
      <c r="B109" s="121">
        <v>45945</v>
      </c>
      <c r="C109" s="66" t="s">
        <v>171</v>
      </c>
      <c r="D109" s="264" t="s">
        <v>673</v>
      </c>
      <c r="E109" s="263"/>
      <c r="F109" s="66" t="s">
        <v>674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">
      <c r="A110" s="97" t="s">
        <v>675</v>
      </c>
      <c r="B110" s="120">
        <v>45945</v>
      </c>
      <c r="C110" s="63" t="s">
        <v>608</v>
      </c>
      <c r="D110" s="262" t="s">
        <v>309</v>
      </c>
      <c r="E110" s="263"/>
      <c r="F110" s="63" t="s">
        <v>676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">
      <c r="A111" s="77" t="s">
        <v>677</v>
      </c>
      <c r="B111" s="121">
        <v>45945</v>
      </c>
      <c r="C111" s="66" t="s">
        <v>277</v>
      </c>
      <c r="D111" s="264" t="s">
        <v>678</v>
      </c>
      <c r="E111" s="263"/>
      <c r="F111" s="66" t="s">
        <v>679</v>
      </c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>
      <c r="A112" s="62" t="s">
        <v>147</v>
      </c>
      <c r="B112" s="62" t="s">
        <v>148</v>
      </c>
      <c r="C112" s="93" t="s">
        <v>149</v>
      </c>
      <c r="D112" s="267" t="s">
        <v>246</v>
      </c>
      <c r="E112" s="263"/>
      <c r="F112" s="93" t="s">
        <v>247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>
      <c r="A113" s="66" t="s">
        <v>680</v>
      </c>
      <c r="B113" s="121">
        <v>45946</v>
      </c>
      <c r="C113" s="67" t="s">
        <v>171</v>
      </c>
      <c r="D113" s="264" t="s">
        <v>275</v>
      </c>
      <c r="E113" s="263"/>
      <c r="F113" s="66" t="s">
        <v>681</v>
      </c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75">
      <c r="A114" s="72" t="s">
        <v>682</v>
      </c>
      <c r="B114" s="120">
        <v>45946</v>
      </c>
      <c r="C114" s="64" t="s">
        <v>540</v>
      </c>
      <c r="D114" s="262" t="s">
        <v>275</v>
      </c>
      <c r="E114" s="263"/>
      <c r="F114" s="63" t="s">
        <v>683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75">
      <c r="A115" s="74" t="s">
        <v>684</v>
      </c>
      <c r="B115" s="121">
        <v>45947</v>
      </c>
      <c r="C115" s="122" t="s">
        <v>279</v>
      </c>
      <c r="D115" s="264" t="s">
        <v>275</v>
      </c>
      <c r="E115" s="263"/>
      <c r="F115" s="66" t="s">
        <v>685</v>
      </c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>
      <c r="A116" s="72" t="s">
        <v>686</v>
      </c>
      <c r="B116" s="120">
        <v>45947</v>
      </c>
      <c r="C116" s="64" t="s">
        <v>456</v>
      </c>
      <c r="D116" s="262" t="s">
        <v>272</v>
      </c>
      <c r="E116" s="263"/>
      <c r="F116" s="63" t="s">
        <v>687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>
      <c r="A117" s="66" t="s">
        <v>688</v>
      </c>
      <c r="B117" s="121">
        <v>45947</v>
      </c>
      <c r="C117" s="67" t="s">
        <v>303</v>
      </c>
      <c r="D117" s="264" t="s">
        <v>689</v>
      </c>
      <c r="E117" s="263"/>
      <c r="F117" s="66" t="s">
        <v>690</v>
      </c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>
      <c r="A118" s="63" t="s">
        <v>691</v>
      </c>
      <c r="B118" s="120">
        <v>45947</v>
      </c>
      <c r="C118" s="64" t="s">
        <v>303</v>
      </c>
      <c r="D118" s="262" t="s">
        <v>692</v>
      </c>
      <c r="E118" s="263"/>
      <c r="F118" s="63" t="s">
        <v>693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>
      <c r="A119" s="74" t="s">
        <v>694</v>
      </c>
      <c r="B119" s="121">
        <v>45947</v>
      </c>
      <c r="C119" s="67" t="s">
        <v>533</v>
      </c>
      <c r="D119" s="266" t="s">
        <v>695</v>
      </c>
      <c r="E119" s="263"/>
      <c r="F119" s="66" t="s">
        <v>696</v>
      </c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>
      <c r="A120" s="63" t="s">
        <v>697</v>
      </c>
      <c r="B120" s="120">
        <v>45948</v>
      </c>
      <c r="C120" s="64" t="s">
        <v>158</v>
      </c>
      <c r="D120" s="262" t="s">
        <v>698</v>
      </c>
      <c r="E120" s="263"/>
      <c r="F120" s="63" t="s">
        <v>699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>
      <c r="A121" s="66" t="s">
        <v>700</v>
      </c>
      <c r="B121" s="121">
        <v>45949</v>
      </c>
      <c r="C121" s="67" t="s">
        <v>277</v>
      </c>
      <c r="D121" s="264" t="s">
        <v>272</v>
      </c>
      <c r="E121" s="263"/>
      <c r="F121" s="66" t="s">
        <v>701</v>
      </c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>
      <c r="A122" s="74" t="s">
        <v>702</v>
      </c>
      <c r="B122" s="120">
        <v>45949</v>
      </c>
      <c r="C122" s="64" t="s">
        <v>303</v>
      </c>
      <c r="D122" s="262" t="s">
        <v>689</v>
      </c>
      <c r="E122" s="263"/>
      <c r="F122" s="63" t="s">
        <v>703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>
      <c r="A123" s="72" t="s">
        <v>704</v>
      </c>
      <c r="B123" s="121">
        <v>45950</v>
      </c>
      <c r="C123" s="67" t="s">
        <v>158</v>
      </c>
      <c r="D123" s="264" t="s">
        <v>275</v>
      </c>
      <c r="E123" s="263"/>
      <c r="F123" s="66" t="s">
        <v>705</v>
      </c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75">
      <c r="A124" s="74" t="s">
        <v>706</v>
      </c>
      <c r="B124" s="120">
        <v>45950</v>
      </c>
      <c r="C124" s="64" t="s">
        <v>164</v>
      </c>
      <c r="D124" s="262" t="s">
        <v>689</v>
      </c>
      <c r="E124" s="263"/>
      <c r="F124" s="63" t="s">
        <v>707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75">
      <c r="A125" s="66" t="s">
        <v>708</v>
      </c>
      <c r="B125" s="121">
        <v>45951</v>
      </c>
      <c r="C125" s="67" t="s">
        <v>587</v>
      </c>
      <c r="D125" s="264" t="s">
        <v>692</v>
      </c>
      <c r="E125" s="263"/>
      <c r="F125" s="66" t="s">
        <v>709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>
      <c r="A126" s="63" t="s">
        <v>710</v>
      </c>
      <c r="B126" s="120">
        <v>45952</v>
      </c>
      <c r="C126" s="64" t="s">
        <v>587</v>
      </c>
      <c r="D126" s="262" t="s">
        <v>692</v>
      </c>
      <c r="E126" s="263"/>
      <c r="F126" s="63" t="s">
        <v>711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75">
      <c r="A127" s="66" t="s">
        <v>712</v>
      </c>
      <c r="B127" s="121">
        <v>45952</v>
      </c>
      <c r="C127" s="67" t="s">
        <v>608</v>
      </c>
      <c r="D127" s="264" t="s">
        <v>272</v>
      </c>
      <c r="E127" s="263"/>
      <c r="F127" s="66" t="s">
        <v>713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75">
      <c r="A128" s="74" t="s">
        <v>714</v>
      </c>
      <c r="B128" s="120">
        <v>45952</v>
      </c>
      <c r="C128" s="122" t="s">
        <v>279</v>
      </c>
      <c r="D128" s="262" t="s">
        <v>715</v>
      </c>
      <c r="E128" s="263"/>
      <c r="F128" s="63" t="s">
        <v>716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>
      <c r="A129" s="72" t="s">
        <v>717</v>
      </c>
      <c r="B129" s="121">
        <v>45953</v>
      </c>
      <c r="C129" s="122" t="s">
        <v>155</v>
      </c>
      <c r="D129" s="264" t="s">
        <v>275</v>
      </c>
      <c r="E129" s="263"/>
      <c r="F129" s="66" t="s">
        <v>718</v>
      </c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75">
      <c r="A130" s="63" t="s">
        <v>719</v>
      </c>
      <c r="B130" s="120">
        <v>45953</v>
      </c>
      <c r="C130" s="64" t="s">
        <v>282</v>
      </c>
      <c r="D130" s="262" t="s">
        <v>272</v>
      </c>
      <c r="E130" s="263"/>
      <c r="F130" s="63" t="s">
        <v>720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>
      <c r="A131" s="66" t="s">
        <v>721</v>
      </c>
      <c r="B131" s="121">
        <v>45953</v>
      </c>
      <c r="C131" s="67" t="s">
        <v>303</v>
      </c>
      <c r="D131" s="264" t="s">
        <v>275</v>
      </c>
      <c r="E131" s="263"/>
      <c r="F131" s="66" t="s">
        <v>722</v>
      </c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>
      <c r="A132" s="74" t="s">
        <v>723</v>
      </c>
      <c r="B132" s="120">
        <v>45955</v>
      </c>
      <c r="C132" s="64" t="s">
        <v>303</v>
      </c>
      <c r="D132" s="262" t="s">
        <v>692</v>
      </c>
      <c r="E132" s="263"/>
      <c r="F132" s="63" t="s">
        <v>724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>
      <c r="A133" s="66" t="s">
        <v>725</v>
      </c>
      <c r="B133" s="121">
        <v>45957</v>
      </c>
      <c r="C133" s="67" t="s">
        <v>171</v>
      </c>
      <c r="D133" s="264" t="s">
        <v>635</v>
      </c>
      <c r="E133" s="263"/>
      <c r="F133" s="66" t="s">
        <v>726</v>
      </c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>
      <c r="A134" s="63" t="s">
        <v>727</v>
      </c>
      <c r="B134" s="120">
        <v>45957</v>
      </c>
      <c r="C134" s="64" t="s">
        <v>171</v>
      </c>
      <c r="D134" s="262" t="s">
        <v>635</v>
      </c>
      <c r="E134" s="263"/>
      <c r="F134" s="63" t="s">
        <v>728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>
      <c r="A135" s="74" t="s">
        <v>729</v>
      </c>
      <c r="B135" s="121">
        <v>45957</v>
      </c>
      <c r="C135" s="67" t="s">
        <v>158</v>
      </c>
      <c r="D135" s="264" t="s">
        <v>730</v>
      </c>
      <c r="E135" s="263"/>
      <c r="F135" s="66" t="s">
        <v>731</v>
      </c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>
      <c r="A136" s="72" t="s">
        <v>732</v>
      </c>
      <c r="B136" s="120">
        <v>45957</v>
      </c>
      <c r="C136" s="64" t="s">
        <v>624</v>
      </c>
      <c r="D136" s="262" t="s">
        <v>730</v>
      </c>
      <c r="E136" s="263"/>
      <c r="F136" s="63" t="s">
        <v>733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>
      <c r="A137" s="72" t="s">
        <v>734</v>
      </c>
      <c r="B137" s="121">
        <v>45958</v>
      </c>
      <c r="C137" s="67" t="s">
        <v>158</v>
      </c>
      <c r="D137" s="264" t="s">
        <v>735</v>
      </c>
      <c r="E137" s="263"/>
      <c r="F137" s="66" t="s">
        <v>736</v>
      </c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>
      <c r="A138" s="74" t="s">
        <v>737</v>
      </c>
      <c r="B138" s="120">
        <v>45959</v>
      </c>
      <c r="C138" s="123" t="s">
        <v>738</v>
      </c>
      <c r="D138" s="262" t="s">
        <v>666</v>
      </c>
      <c r="E138" s="263"/>
      <c r="F138" s="63" t="s">
        <v>739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>
      <c r="A139" s="74" t="s">
        <v>740</v>
      </c>
      <c r="B139" s="121">
        <v>45959</v>
      </c>
      <c r="C139" s="123" t="s">
        <v>741</v>
      </c>
      <c r="D139" s="264" t="s">
        <v>742</v>
      </c>
      <c r="E139" s="263"/>
      <c r="F139" s="66" t="s">
        <v>743</v>
      </c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>
      <c r="A140" s="72" t="s">
        <v>744</v>
      </c>
      <c r="B140" s="120">
        <v>45960</v>
      </c>
      <c r="C140" s="64" t="s">
        <v>164</v>
      </c>
      <c r="D140" s="262" t="s">
        <v>745</v>
      </c>
      <c r="E140" s="263"/>
      <c r="F140" s="63" t="s">
        <v>746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>
      <c r="A141" s="72" t="s">
        <v>747</v>
      </c>
      <c r="B141" s="121">
        <v>45960</v>
      </c>
      <c r="C141" s="67" t="s">
        <v>158</v>
      </c>
      <c r="D141" s="264" t="s">
        <v>748</v>
      </c>
      <c r="E141" s="263"/>
      <c r="F141" s="66" t="s">
        <v>749</v>
      </c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>
      <c r="A142" s="72" t="s">
        <v>750</v>
      </c>
      <c r="B142" s="120">
        <v>45960</v>
      </c>
      <c r="C142" s="64" t="s">
        <v>158</v>
      </c>
      <c r="D142" s="262" t="s">
        <v>745</v>
      </c>
      <c r="E142" s="263"/>
      <c r="F142" s="63" t="s">
        <v>749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75">
      <c r="A143" s="74" t="s">
        <v>751</v>
      </c>
      <c r="B143" s="121">
        <v>45960</v>
      </c>
      <c r="C143" s="66" t="s">
        <v>277</v>
      </c>
      <c r="D143" s="264" t="s">
        <v>745</v>
      </c>
      <c r="E143" s="263"/>
      <c r="F143" s="66" t="s">
        <v>752</v>
      </c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>
      <c r="A144" s="72" t="s">
        <v>753</v>
      </c>
      <c r="B144" s="120">
        <v>45960</v>
      </c>
      <c r="C144" s="63" t="s">
        <v>164</v>
      </c>
      <c r="D144" s="262" t="s">
        <v>272</v>
      </c>
      <c r="E144" s="263"/>
      <c r="F144" s="63" t="s">
        <v>754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>
      <c r="A145" s="74" t="s">
        <v>755</v>
      </c>
      <c r="B145" s="121">
        <v>45961</v>
      </c>
      <c r="C145" s="74" t="s">
        <v>738</v>
      </c>
      <c r="D145" s="264" t="s">
        <v>756</v>
      </c>
      <c r="E145" s="263"/>
      <c r="F145" s="66" t="s">
        <v>757</v>
      </c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>
      <c r="A146" s="74" t="s">
        <v>758</v>
      </c>
      <c r="B146" s="120">
        <v>45961</v>
      </c>
      <c r="C146" s="63" t="s">
        <v>164</v>
      </c>
      <c r="D146" s="262" t="s">
        <v>272</v>
      </c>
      <c r="E146" s="263"/>
      <c r="F146" s="63" t="s">
        <v>759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2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</sheetData>
  <mergeCells count="134">
    <mergeCell ref="B1:D1"/>
    <mergeCell ref="E1:F1"/>
    <mergeCell ref="B2:D2"/>
    <mergeCell ref="E2:F2"/>
    <mergeCell ref="B3:D3"/>
    <mergeCell ref="E3:F3"/>
    <mergeCell ref="E4:F4"/>
    <mergeCell ref="B4:D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E11:F11"/>
    <mergeCell ref="B11:D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C53:D53"/>
    <mergeCell ref="E53:F53"/>
    <mergeCell ref="J53:L53"/>
    <mergeCell ref="O53:P53"/>
    <mergeCell ref="C54:D54"/>
    <mergeCell ref="J54:L54"/>
    <mergeCell ref="O54:P54"/>
    <mergeCell ref="E54:F54"/>
    <mergeCell ref="D56:E56"/>
    <mergeCell ref="D57:E57"/>
    <mergeCell ref="D58:E58"/>
    <mergeCell ref="D59:E59"/>
    <mergeCell ref="D60:E60"/>
    <mergeCell ref="D61:E61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32:E132"/>
    <mergeCell ref="D133:E133"/>
    <mergeCell ref="D134:E134"/>
    <mergeCell ref="D135:E135"/>
    <mergeCell ref="D136:E136"/>
    <mergeCell ref="D137:E137"/>
    <mergeCell ref="D138:E138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104:E104"/>
    <mergeCell ref="D105:E105"/>
    <mergeCell ref="D106:E106"/>
    <mergeCell ref="D107:E107"/>
    <mergeCell ref="D108:E108"/>
    <mergeCell ref="D109:E109"/>
    <mergeCell ref="D110:E110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</mergeCells>
  <conditionalFormatting sqref="H2:H9 J2:K9">
    <cfRule type="notContainsBlanks" dxfId="6" priority="1">
      <formula>LEN(TRIM(H2))&gt;0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869"/>
  <sheetViews>
    <sheetView workbookViewId="0"/>
  </sheetViews>
  <sheetFormatPr defaultColWidth="12.5703125" defaultRowHeight="15.75" customHeight="1"/>
  <cols>
    <col min="1" max="1" width="72.7109375" customWidth="1"/>
    <col min="2" max="2" width="21.42578125" customWidth="1"/>
    <col min="3" max="3" width="17.42578125" customWidth="1"/>
    <col min="4" max="4" width="21" customWidth="1"/>
    <col min="5" max="5" width="16.42578125" customWidth="1"/>
    <col min="6" max="6" width="18.42578125" customWidth="1"/>
    <col min="7" max="7" width="14.85546875" customWidth="1"/>
    <col min="8" max="8" width="14.5703125" customWidth="1"/>
    <col min="9" max="9" width="21.42578125" customWidth="1"/>
    <col min="10" max="10" width="14.7109375" customWidth="1"/>
    <col min="11" max="11" width="16" customWidth="1"/>
    <col min="12" max="12" width="13.28515625" customWidth="1"/>
    <col min="13" max="13" width="12.7109375" customWidth="1"/>
    <col min="14" max="14" width="15" customWidth="1"/>
    <col min="15" max="15" width="14" customWidth="1"/>
    <col min="16" max="16" width="14.85546875" customWidth="1"/>
  </cols>
  <sheetData>
    <row r="1" spans="1:25" ht="26.25">
      <c r="A1" s="4" t="s">
        <v>760</v>
      </c>
      <c r="B1" s="252" t="s">
        <v>761</v>
      </c>
      <c r="C1" s="272"/>
      <c r="D1" s="253"/>
      <c r="E1" s="252" t="s">
        <v>762</v>
      </c>
      <c r="F1" s="253"/>
      <c r="G1" s="5" t="s">
        <v>15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7.25" customHeight="1">
      <c r="A2" s="8" t="s">
        <v>763</v>
      </c>
      <c r="B2" s="257">
        <v>3.7939814814814815E-2</v>
      </c>
      <c r="C2" s="270"/>
      <c r="D2" s="243"/>
      <c r="E2" s="257">
        <v>4.5023148148148145E-2</v>
      </c>
      <c r="F2" s="243"/>
      <c r="G2" s="46">
        <v>4.148148148148148E-2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764</v>
      </c>
      <c r="B3" s="257">
        <v>2.3148148148148147E-3</v>
      </c>
      <c r="C3" s="270"/>
      <c r="D3" s="243"/>
      <c r="E3" s="257">
        <v>6.053240740740741E-3</v>
      </c>
      <c r="F3" s="243"/>
      <c r="G3" s="46">
        <v>4.1898148148148146E-3</v>
      </c>
      <c r="H3" s="7"/>
      <c r="I3" s="7"/>
      <c r="J3" s="7"/>
      <c r="K3" s="7"/>
      <c r="L3" s="7"/>
      <c r="M3" s="7"/>
      <c r="N3" s="7"/>
      <c r="O3" s="7"/>
      <c r="P3" s="7"/>
      <c r="Q3" s="47" t="s">
        <v>47</v>
      </c>
      <c r="R3" s="7" t="s">
        <v>48</v>
      </c>
      <c r="S3" s="7"/>
      <c r="T3" s="7"/>
      <c r="U3" s="7"/>
      <c r="V3" s="7"/>
      <c r="W3" s="7"/>
      <c r="X3" s="7"/>
      <c r="Y3" s="7"/>
    </row>
    <row r="4" spans="1:25">
      <c r="A4" s="8" t="s">
        <v>765</v>
      </c>
      <c r="B4" s="257">
        <v>1.3425925925925925E-3</v>
      </c>
      <c r="C4" s="270"/>
      <c r="D4" s="243"/>
      <c r="E4" s="257">
        <v>1.3888888888888889E-3</v>
      </c>
      <c r="F4" s="243"/>
      <c r="G4" s="46">
        <v>1.3657407407407407E-3</v>
      </c>
      <c r="H4" s="7"/>
      <c r="I4" s="7"/>
      <c r="J4" s="7"/>
      <c r="K4" s="7"/>
      <c r="L4" s="7"/>
      <c r="M4" s="7"/>
      <c r="N4" s="7"/>
      <c r="O4" s="7"/>
      <c r="P4" s="7"/>
      <c r="Q4" s="48" t="s">
        <v>50</v>
      </c>
      <c r="R4" s="7" t="s">
        <v>51</v>
      </c>
      <c r="S4" s="7"/>
      <c r="T4" s="7"/>
      <c r="U4" s="7"/>
      <c r="V4" s="7"/>
      <c r="W4" s="7"/>
      <c r="X4" s="7"/>
      <c r="Y4" s="7"/>
    </row>
    <row r="5" spans="1:25">
      <c r="A5" s="8" t="s">
        <v>766</v>
      </c>
      <c r="B5" s="257">
        <v>2.638888888888889E-3</v>
      </c>
      <c r="C5" s="270"/>
      <c r="D5" s="243"/>
      <c r="E5" s="257">
        <v>1.724537037037037E-3</v>
      </c>
      <c r="F5" s="243"/>
      <c r="G5" s="46">
        <v>2.1875000000000002E-3</v>
      </c>
      <c r="H5" s="7"/>
      <c r="I5" s="7"/>
      <c r="J5" s="7"/>
      <c r="K5" s="7"/>
      <c r="L5" s="7"/>
      <c r="M5" s="7"/>
      <c r="N5" s="7"/>
      <c r="O5" s="7"/>
      <c r="P5" s="7"/>
      <c r="Q5" s="49" t="s">
        <v>53</v>
      </c>
      <c r="R5" s="7" t="s">
        <v>54</v>
      </c>
      <c r="S5" s="7"/>
      <c r="T5" s="7"/>
      <c r="U5" s="7"/>
      <c r="V5" s="7"/>
      <c r="W5" s="7"/>
      <c r="X5" s="7"/>
      <c r="Y5" s="7"/>
    </row>
    <row r="6" spans="1:25">
      <c r="A6" s="8" t="s">
        <v>767</v>
      </c>
      <c r="B6" s="256">
        <v>4.4000000000000004</v>
      </c>
      <c r="C6" s="270"/>
      <c r="D6" s="243"/>
      <c r="E6" s="256" t="s">
        <v>490</v>
      </c>
      <c r="F6" s="243"/>
      <c r="G6" s="124">
        <v>45751</v>
      </c>
      <c r="H6" s="7"/>
      <c r="I6" s="7"/>
      <c r="J6" s="7"/>
      <c r="K6" s="7"/>
      <c r="L6" s="7"/>
      <c r="M6" s="7"/>
      <c r="N6" s="7"/>
      <c r="O6" s="7"/>
      <c r="P6" s="7"/>
      <c r="Q6" s="52" t="s">
        <v>56</v>
      </c>
      <c r="R6" s="7" t="s">
        <v>57</v>
      </c>
      <c r="S6" s="7"/>
      <c r="T6" s="7"/>
      <c r="U6" s="7"/>
      <c r="V6" s="7"/>
      <c r="W6" s="7"/>
      <c r="X6" s="7"/>
      <c r="Y6" s="7"/>
    </row>
    <row r="7" spans="1:25">
      <c r="A7" s="8" t="s">
        <v>768</v>
      </c>
      <c r="B7" s="256">
        <v>621</v>
      </c>
      <c r="C7" s="270"/>
      <c r="D7" s="243"/>
      <c r="E7" s="256">
        <v>609</v>
      </c>
      <c r="F7" s="243"/>
      <c r="G7" s="54">
        <v>1230</v>
      </c>
      <c r="H7" s="7"/>
      <c r="I7" s="7"/>
      <c r="J7" s="7"/>
      <c r="K7" s="7"/>
      <c r="L7" s="7"/>
      <c r="M7" s="7"/>
      <c r="N7" s="7"/>
      <c r="O7" s="7"/>
      <c r="P7" s="7"/>
      <c r="Q7" s="52"/>
      <c r="R7" s="7"/>
      <c r="S7" s="7"/>
      <c r="T7" s="7"/>
      <c r="U7" s="7"/>
      <c r="V7" s="7"/>
      <c r="W7" s="7"/>
      <c r="X7" s="7"/>
      <c r="Y7" s="7"/>
    </row>
    <row r="8" spans="1:25" ht="15">
      <c r="A8" s="8" t="s">
        <v>59</v>
      </c>
      <c r="B8" s="258">
        <v>0.98</v>
      </c>
      <c r="C8" s="270"/>
      <c r="D8" s="243"/>
      <c r="E8" s="258">
        <v>0.99</v>
      </c>
      <c r="F8" s="243"/>
      <c r="G8" s="53">
        <v>0.99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>
      <c r="A9" s="8" t="s">
        <v>60</v>
      </c>
      <c r="B9" s="255">
        <v>987</v>
      </c>
      <c r="C9" s="270"/>
      <c r="D9" s="243"/>
      <c r="E9" s="255">
        <v>832</v>
      </c>
      <c r="F9" s="243"/>
      <c r="G9" s="55" t="s">
        <v>769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770</v>
      </c>
      <c r="B10" s="258">
        <v>0.99</v>
      </c>
      <c r="C10" s="270"/>
      <c r="D10" s="243"/>
      <c r="E10" s="258">
        <v>0.97</v>
      </c>
      <c r="F10" s="243"/>
      <c r="G10" s="53">
        <v>0.98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771</v>
      </c>
      <c r="B11" s="255">
        <v>918</v>
      </c>
      <c r="C11" s="270"/>
      <c r="D11" s="243"/>
      <c r="E11" s="255">
        <v>974</v>
      </c>
      <c r="F11" s="243"/>
      <c r="G11" s="55" t="s">
        <v>772</v>
      </c>
      <c r="H11" s="7"/>
      <c r="I11" s="7"/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8" t="s">
        <v>773</v>
      </c>
      <c r="B12" s="275" t="s">
        <v>774</v>
      </c>
      <c r="C12" s="272"/>
      <c r="D12" s="253"/>
      <c r="E12" s="259" t="s">
        <v>775</v>
      </c>
      <c r="F12" s="243"/>
      <c r="G12" s="55" t="s">
        <v>776</v>
      </c>
      <c r="H12" s="7"/>
      <c r="I12" s="7"/>
      <c r="J12" s="7"/>
      <c r="K12" s="7"/>
      <c r="L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5">
      <c r="A13" s="8" t="s">
        <v>777</v>
      </c>
      <c r="B13" s="259" t="s">
        <v>778</v>
      </c>
      <c r="C13" s="270"/>
      <c r="D13" s="243"/>
      <c r="E13" s="259" t="s">
        <v>779</v>
      </c>
      <c r="F13" s="243"/>
      <c r="G13" s="55" t="s">
        <v>780</v>
      </c>
      <c r="H13" s="7"/>
      <c r="I13" s="7"/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5">
      <c r="A14" s="8" t="s">
        <v>781</v>
      </c>
      <c r="B14" s="259" t="s">
        <v>782</v>
      </c>
      <c r="C14" s="270"/>
      <c r="D14" s="243"/>
      <c r="E14" s="259" t="s">
        <v>783</v>
      </c>
      <c r="F14" s="243"/>
      <c r="G14" s="54">
        <v>467</v>
      </c>
      <c r="H14" s="7"/>
      <c r="I14" s="7"/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5">
      <c r="A15" s="8" t="s">
        <v>784</v>
      </c>
      <c r="B15" s="259" t="s">
        <v>785</v>
      </c>
      <c r="C15" s="270"/>
      <c r="D15" s="243"/>
      <c r="E15" s="258">
        <v>0.97</v>
      </c>
      <c r="F15" s="243"/>
      <c r="G15" s="53">
        <v>0.97</v>
      </c>
      <c r="H15" s="7"/>
      <c r="I15" s="7"/>
      <c r="J15" s="7"/>
      <c r="K15" s="7"/>
      <c r="L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>
      <c r="A16" s="8" t="s">
        <v>74</v>
      </c>
      <c r="B16" s="254">
        <v>3.5099999999999999E-2</v>
      </c>
      <c r="C16" s="270"/>
      <c r="D16" s="243"/>
      <c r="E16" s="256" t="s">
        <v>786</v>
      </c>
      <c r="F16" s="243"/>
      <c r="G16" s="51" t="s">
        <v>787</v>
      </c>
      <c r="H16" s="7"/>
      <c r="I16" s="7"/>
      <c r="J16" s="7"/>
      <c r="K16" s="7"/>
      <c r="L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31">
      <c r="A17" s="8" t="s">
        <v>788</v>
      </c>
      <c r="B17" s="259" t="s">
        <v>789</v>
      </c>
      <c r="C17" s="270"/>
      <c r="D17" s="243"/>
      <c r="E17" s="259" t="s">
        <v>790</v>
      </c>
      <c r="F17" s="243"/>
      <c r="G17" s="55" t="s">
        <v>790</v>
      </c>
      <c r="H17" s="7"/>
      <c r="I17" s="7"/>
      <c r="J17" s="7"/>
      <c r="K17" s="7"/>
      <c r="L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31" ht="15">
      <c r="A18" s="8" t="s">
        <v>200</v>
      </c>
      <c r="B18" s="271" t="s">
        <v>791</v>
      </c>
      <c r="C18" s="272"/>
      <c r="D18" s="253"/>
      <c r="E18" s="50">
        <v>21</v>
      </c>
      <c r="F18" s="51">
        <v>0</v>
      </c>
      <c r="G18" s="54">
        <v>126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31">
      <c r="A19" s="16" t="s">
        <v>77</v>
      </c>
      <c r="B19" s="17" t="s">
        <v>133</v>
      </c>
      <c r="C19" s="17" t="s">
        <v>505</v>
      </c>
      <c r="D19" s="17" t="s">
        <v>31</v>
      </c>
      <c r="E19" s="18" t="s">
        <v>32</v>
      </c>
      <c r="F19" s="18" t="s">
        <v>33</v>
      </c>
      <c r="G19" s="18" t="s">
        <v>34</v>
      </c>
      <c r="I19" s="100" t="s">
        <v>201</v>
      </c>
      <c r="J19" s="17" t="s">
        <v>506</v>
      </c>
      <c r="K19" s="81" t="s">
        <v>507</v>
      </c>
      <c r="L19" s="81" t="s">
        <v>32</v>
      </c>
      <c r="M19" s="101" t="s">
        <v>31</v>
      </c>
      <c r="N19" s="81" t="s">
        <v>33</v>
      </c>
      <c r="O19" s="81" t="s">
        <v>34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31" ht="12.75">
      <c r="A20" s="20" t="s">
        <v>30</v>
      </c>
      <c r="B20" s="80" t="s">
        <v>8</v>
      </c>
      <c r="C20" s="80" t="s">
        <v>8</v>
      </c>
      <c r="D20" s="80" t="s">
        <v>8</v>
      </c>
      <c r="E20" s="81">
        <v>2</v>
      </c>
      <c r="F20" s="80">
        <v>61</v>
      </c>
      <c r="G20" s="81">
        <v>25</v>
      </c>
      <c r="I20" s="20" t="s">
        <v>9</v>
      </c>
      <c r="J20" s="80" t="s">
        <v>8</v>
      </c>
      <c r="K20" s="80" t="s">
        <v>8</v>
      </c>
      <c r="L20" s="81">
        <v>6</v>
      </c>
      <c r="M20" s="80" t="s">
        <v>8</v>
      </c>
      <c r="N20" s="80">
        <v>177</v>
      </c>
      <c r="O20" s="81">
        <v>48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31" ht="12.75">
      <c r="A21" s="31" t="s">
        <v>28</v>
      </c>
      <c r="B21" s="103"/>
      <c r="C21" s="80" t="s">
        <v>8</v>
      </c>
      <c r="D21" s="80" t="s">
        <v>8</v>
      </c>
      <c r="E21" s="21">
        <v>3</v>
      </c>
      <c r="F21" s="57">
        <v>235</v>
      </c>
      <c r="G21" s="21">
        <v>9</v>
      </c>
      <c r="I21" s="105" t="s">
        <v>215</v>
      </c>
      <c r="J21" s="103"/>
      <c r="K21" s="80" t="s">
        <v>8</v>
      </c>
      <c r="L21" s="21">
        <v>9</v>
      </c>
      <c r="M21" s="80" t="s">
        <v>8</v>
      </c>
      <c r="N21" s="57">
        <v>171</v>
      </c>
      <c r="O21" s="33">
        <v>16</v>
      </c>
      <c r="Q21" s="10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2.75">
      <c r="A22" s="20" t="s">
        <v>25</v>
      </c>
      <c r="B22" s="80" t="s">
        <v>8</v>
      </c>
      <c r="C22" s="80" t="s">
        <v>8</v>
      </c>
      <c r="D22" s="80" t="s">
        <v>8</v>
      </c>
      <c r="E22" s="81">
        <v>9</v>
      </c>
      <c r="F22" s="80">
        <v>68</v>
      </c>
      <c r="G22" s="81">
        <v>29</v>
      </c>
      <c r="I22" s="20" t="s">
        <v>25</v>
      </c>
      <c r="J22" s="80" t="s">
        <v>8</v>
      </c>
      <c r="K22" s="80" t="s">
        <v>8</v>
      </c>
      <c r="L22" s="81">
        <v>8</v>
      </c>
      <c r="M22" s="80" t="s">
        <v>8</v>
      </c>
      <c r="N22" s="80">
        <v>1</v>
      </c>
      <c r="O22" s="81">
        <v>79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31" ht="12.75">
      <c r="A23" s="20" t="s">
        <v>18</v>
      </c>
      <c r="B23" s="80" t="s">
        <v>8</v>
      </c>
      <c r="C23" s="80" t="s">
        <v>8</v>
      </c>
      <c r="D23" s="80" t="s">
        <v>8</v>
      </c>
      <c r="E23" s="80" t="s">
        <v>8</v>
      </c>
      <c r="F23" s="80" t="s">
        <v>8</v>
      </c>
      <c r="G23" s="80" t="s">
        <v>8</v>
      </c>
      <c r="I23" s="20" t="s">
        <v>11</v>
      </c>
      <c r="J23" s="80" t="s">
        <v>8</v>
      </c>
      <c r="K23" s="80" t="s">
        <v>8</v>
      </c>
      <c r="L23" s="80" t="s">
        <v>8</v>
      </c>
      <c r="M23" s="80" t="s">
        <v>8</v>
      </c>
      <c r="N23" s="80" t="s">
        <v>8</v>
      </c>
      <c r="O23" s="80" t="s">
        <v>8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31" ht="12.75">
      <c r="A24" s="20" t="s">
        <v>12</v>
      </c>
      <c r="B24" s="80" t="s">
        <v>8</v>
      </c>
      <c r="C24" s="80" t="s">
        <v>8</v>
      </c>
      <c r="D24" s="80" t="s">
        <v>8</v>
      </c>
      <c r="E24" s="81">
        <v>28</v>
      </c>
      <c r="F24" s="80">
        <v>156</v>
      </c>
      <c r="G24" s="81">
        <v>33</v>
      </c>
      <c r="I24" s="20" t="s">
        <v>12</v>
      </c>
      <c r="J24" s="80" t="s">
        <v>8</v>
      </c>
      <c r="K24" s="80" t="s">
        <v>8</v>
      </c>
      <c r="L24" s="81">
        <v>19</v>
      </c>
      <c r="M24" s="80" t="s">
        <v>8</v>
      </c>
      <c r="N24" s="80">
        <v>156</v>
      </c>
      <c r="O24" s="81">
        <v>19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31" ht="15.75" customHeight="1">
      <c r="A25" s="30" t="s">
        <v>19</v>
      </c>
      <c r="B25" s="80" t="s">
        <v>8</v>
      </c>
      <c r="C25" s="80" t="s">
        <v>8</v>
      </c>
      <c r="D25" s="80" t="s">
        <v>8</v>
      </c>
      <c r="E25" s="81">
        <v>5</v>
      </c>
      <c r="F25" s="80">
        <v>214</v>
      </c>
      <c r="G25" s="81">
        <v>68</v>
      </c>
      <c r="I25" s="30" t="s">
        <v>13</v>
      </c>
      <c r="J25" s="80" t="s">
        <v>8</v>
      </c>
      <c r="K25" s="80" t="s">
        <v>8</v>
      </c>
      <c r="L25" s="81">
        <v>6</v>
      </c>
      <c r="M25" s="80" t="s">
        <v>8</v>
      </c>
      <c r="N25" s="80">
        <v>137</v>
      </c>
      <c r="O25" s="81">
        <v>28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31" ht="39.75" customHeight="1">
      <c r="A26" s="16" t="s">
        <v>80</v>
      </c>
      <c r="B26" s="17" t="s">
        <v>133</v>
      </c>
      <c r="C26" s="17" t="s">
        <v>505</v>
      </c>
      <c r="D26" s="17" t="s">
        <v>31</v>
      </c>
      <c r="E26" s="18" t="s">
        <v>32</v>
      </c>
      <c r="F26" s="18" t="s">
        <v>81</v>
      </c>
      <c r="G26" s="18" t="s">
        <v>36</v>
      </c>
      <c r="H26" s="19" t="s">
        <v>35</v>
      </c>
      <c r="I26" s="16" t="s">
        <v>202</v>
      </c>
      <c r="J26" s="17" t="s">
        <v>506</v>
      </c>
      <c r="K26" s="17" t="s">
        <v>505</v>
      </c>
      <c r="L26" s="18" t="s">
        <v>32</v>
      </c>
      <c r="M26" s="17" t="s">
        <v>31</v>
      </c>
      <c r="N26" s="18" t="s">
        <v>134</v>
      </c>
      <c r="O26" s="18" t="s">
        <v>36</v>
      </c>
      <c r="P26" s="81" t="s">
        <v>35</v>
      </c>
      <c r="Q26" s="81" t="s">
        <v>203</v>
      </c>
    </row>
    <row r="27" spans="1:31" ht="12.75">
      <c r="A27" s="31" t="s">
        <v>21</v>
      </c>
      <c r="B27" s="21">
        <v>113</v>
      </c>
      <c r="C27" s="12">
        <v>552</v>
      </c>
      <c r="D27" s="29">
        <v>4.5</v>
      </c>
      <c r="E27" s="12">
        <v>81</v>
      </c>
      <c r="F27" s="125" t="s">
        <v>792</v>
      </c>
      <c r="G27" s="57">
        <v>72</v>
      </c>
      <c r="H27" s="108">
        <v>8.9120370370370373E-4</v>
      </c>
      <c r="I27" s="31" t="s">
        <v>204</v>
      </c>
      <c r="J27" s="21">
        <v>331</v>
      </c>
      <c r="K27" s="21">
        <v>474</v>
      </c>
      <c r="L27" s="12">
        <v>49</v>
      </c>
      <c r="M27" s="82">
        <v>45692</v>
      </c>
      <c r="N27" s="125">
        <v>3.27</v>
      </c>
      <c r="O27" s="125">
        <v>14.8</v>
      </c>
      <c r="P27" s="9">
        <v>1.6898148148148148E-3</v>
      </c>
      <c r="Q27" s="126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31" ht="12.75">
      <c r="A28" s="31" t="s">
        <v>24</v>
      </c>
      <c r="B28" s="29">
        <v>55</v>
      </c>
      <c r="C28" s="104">
        <v>299</v>
      </c>
      <c r="D28" s="29">
        <v>4.2</v>
      </c>
      <c r="E28" s="12">
        <v>19</v>
      </c>
      <c r="F28" s="125" t="s">
        <v>793</v>
      </c>
      <c r="G28" s="125">
        <v>35</v>
      </c>
      <c r="H28" s="109">
        <v>9.0277777777777774E-4</v>
      </c>
      <c r="I28" s="31" t="s">
        <v>205</v>
      </c>
      <c r="J28" s="21">
        <v>74</v>
      </c>
      <c r="K28" s="21">
        <v>311</v>
      </c>
      <c r="L28" s="12">
        <v>18</v>
      </c>
      <c r="M28" s="82">
        <v>45872</v>
      </c>
      <c r="N28" s="125">
        <v>1.2</v>
      </c>
      <c r="O28" s="125">
        <v>24.32</v>
      </c>
      <c r="P28" s="9">
        <v>6.9444444444444447E-4</v>
      </c>
      <c r="Q28" s="106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31" ht="12.75">
      <c r="A29" s="31" t="s">
        <v>41</v>
      </c>
      <c r="B29" s="90">
        <v>48</v>
      </c>
      <c r="C29" s="104">
        <v>398</v>
      </c>
      <c r="D29" s="29">
        <v>4.5999999999999996</v>
      </c>
      <c r="E29" s="12">
        <v>21</v>
      </c>
      <c r="F29" s="125" t="s">
        <v>794</v>
      </c>
      <c r="G29" s="125">
        <v>43</v>
      </c>
      <c r="H29" s="109">
        <v>5.9027777777777778E-4</v>
      </c>
      <c r="I29" s="31" t="s">
        <v>206</v>
      </c>
      <c r="J29" s="21">
        <v>127</v>
      </c>
      <c r="K29" s="21">
        <v>333</v>
      </c>
      <c r="L29" s="12">
        <v>22</v>
      </c>
      <c r="M29" s="82">
        <v>45751</v>
      </c>
      <c r="N29" s="125">
        <v>1.47</v>
      </c>
      <c r="O29" s="125">
        <v>17.32</v>
      </c>
      <c r="P29" s="9">
        <v>9.1435185185185185E-4</v>
      </c>
      <c r="Q29" s="126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31" ht="12.75">
      <c r="A30" s="31" t="s">
        <v>135</v>
      </c>
      <c r="B30" s="29">
        <v>66</v>
      </c>
      <c r="C30" s="104">
        <v>489</v>
      </c>
      <c r="D30" s="90">
        <v>3.9</v>
      </c>
      <c r="E30" s="12">
        <v>44</v>
      </c>
      <c r="F30" s="125" t="s">
        <v>795</v>
      </c>
      <c r="G30" s="125">
        <v>67</v>
      </c>
      <c r="H30" s="113">
        <v>7.0023148148148145E-3</v>
      </c>
      <c r="I30" s="31" t="s">
        <v>208</v>
      </c>
      <c r="J30" s="21">
        <v>139</v>
      </c>
      <c r="K30" s="21">
        <v>369</v>
      </c>
      <c r="L30" s="12">
        <v>45</v>
      </c>
      <c r="M30" s="82">
        <v>45720</v>
      </c>
      <c r="N30" s="125">
        <v>3</v>
      </c>
      <c r="O30" s="125">
        <v>32.369999999999997</v>
      </c>
      <c r="P30" s="9">
        <v>2.5347222222222221E-3</v>
      </c>
      <c r="Q30" s="106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31" ht="12.75">
      <c r="A31" s="31" t="s">
        <v>796</v>
      </c>
      <c r="B31" s="29" t="s">
        <v>797</v>
      </c>
      <c r="C31" s="104">
        <v>145</v>
      </c>
      <c r="D31" s="29">
        <v>4.9000000000000004</v>
      </c>
      <c r="E31" s="12">
        <v>10</v>
      </c>
      <c r="F31" s="125" t="s">
        <v>798</v>
      </c>
      <c r="G31" s="125">
        <v>40</v>
      </c>
      <c r="H31" s="127" t="s">
        <v>799</v>
      </c>
      <c r="I31" s="31" t="s">
        <v>800</v>
      </c>
      <c r="J31" s="21">
        <v>117</v>
      </c>
      <c r="K31" s="21">
        <v>518</v>
      </c>
      <c r="L31" s="12">
        <v>21</v>
      </c>
      <c r="M31" s="82">
        <v>45781</v>
      </c>
      <c r="N31" s="125">
        <v>1.4</v>
      </c>
      <c r="O31" s="125">
        <v>17.95</v>
      </c>
      <c r="P31" s="9">
        <v>5.6712962962962967E-4</v>
      </c>
      <c r="Q31" s="10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31" ht="12.75">
      <c r="A32" s="31" t="s">
        <v>209</v>
      </c>
      <c r="B32" s="103">
        <v>160</v>
      </c>
      <c r="C32" s="110">
        <v>618</v>
      </c>
      <c r="D32" s="29">
        <v>4.5</v>
      </c>
      <c r="E32" s="12">
        <v>46</v>
      </c>
      <c r="F32" s="125" t="s">
        <v>801</v>
      </c>
      <c r="G32" s="125">
        <v>35</v>
      </c>
      <c r="H32" s="109">
        <v>3.5879629629629629E-4</v>
      </c>
      <c r="I32" s="31" t="s">
        <v>210</v>
      </c>
      <c r="J32" s="21">
        <v>223</v>
      </c>
      <c r="K32" s="21">
        <v>628</v>
      </c>
      <c r="L32" s="12">
        <v>58</v>
      </c>
      <c r="M32" s="82">
        <v>45751</v>
      </c>
      <c r="N32" s="125">
        <v>3.87</v>
      </c>
      <c r="O32" s="125">
        <v>26.01</v>
      </c>
      <c r="P32" s="9">
        <v>7.7546296296296293E-4</v>
      </c>
      <c r="Q32" s="106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1" ht="12.75">
      <c r="A33" s="31" t="s">
        <v>86</v>
      </c>
      <c r="B33" s="29">
        <v>127</v>
      </c>
      <c r="C33" s="104">
        <v>333</v>
      </c>
      <c r="D33" s="29">
        <v>4.4000000000000004</v>
      </c>
      <c r="E33" s="12">
        <v>30</v>
      </c>
      <c r="F33" s="125" t="s">
        <v>802</v>
      </c>
      <c r="G33" s="125">
        <v>42</v>
      </c>
      <c r="H33" s="109">
        <v>7.7546296296296293E-4</v>
      </c>
      <c r="I33" s="31" t="s">
        <v>211</v>
      </c>
      <c r="J33" s="21">
        <v>137</v>
      </c>
      <c r="K33" s="21">
        <v>304</v>
      </c>
      <c r="L33" s="12">
        <v>25</v>
      </c>
      <c r="M33" s="82">
        <v>45751</v>
      </c>
      <c r="N33" s="125">
        <v>1.67</v>
      </c>
      <c r="O33" s="125">
        <v>18.25</v>
      </c>
      <c r="P33" s="9">
        <v>1.1574074074074073E-3</v>
      </c>
      <c r="Q33" s="126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1" ht="12.75">
      <c r="A34" s="31" t="s">
        <v>87</v>
      </c>
      <c r="B34" s="103">
        <v>105</v>
      </c>
      <c r="C34" s="110">
        <v>591</v>
      </c>
      <c r="D34" s="29">
        <v>4.8</v>
      </c>
      <c r="E34" s="12">
        <v>29</v>
      </c>
      <c r="F34" s="125" t="s">
        <v>803</v>
      </c>
      <c r="G34" s="125">
        <v>36</v>
      </c>
      <c r="H34" s="109">
        <v>4.0509259259259258E-4</v>
      </c>
      <c r="I34" s="31" t="s">
        <v>213</v>
      </c>
      <c r="J34" s="111">
        <v>135</v>
      </c>
      <c r="K34" s="111">
        <v>1072</v>
      </c>
      <c r="L34" s="12">
        <v>51</v>
      </c>
      <c r="M34" s="82">
        <v>45812</v>
      </c>
      <c r="N34" s="125">
        <v>3.4</v>
      </c>
      <c r="O34" s="125">
        <v>37.78</v>
      </c>
      <c r="P34" s="9">
        <v>8.2175925925925927E-4</v>
      </c>
      <c r="Q34" s="106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1" ht="12.75">
      <c r="A35" s="31" t="s">
        <v>23</v>
      </c>
      <c r="B35" s="29">
        <v>214</v>
      </c>
      <c r="C35" s="104">
        <v>61</v>
      </c>
      <c r="D35" s="21">
        <v>4.5999999999999996</v>
      </c>
      <c r="E35" s="12">
        <v>5</v>
      </c>
      <c r="F35" s="125" t="s">
        <v>804</v>
      </c>
      <c r="G35" s="125">
        <v>4</v>
      </c>
      <c r="H35" s="109">
        <v>1.9675925925925926E-4</v>
      </c>
      <c r="I35" s="31" t="s">
        <v>214</v>
      </c>
      <c r="J35" s="21">
        <v>129</v>
      </c>
      <c r="K35" s="21">
        <v>140</v>
      </c>
      <c r="L35" s="12">
        <v>1</v>
      </c>
      <c r="M35" s="82">
        <v>45751</v>
      </c>
      <c r="N35" s="125">
        <v>7.0000000000000007E-2</v>
      </c>
      <c r="O35" s="125">
        <v>0.78</v>
      </c>
      <c r="P35" s="9">
        <v>3.8194444444444446E-4</v>
      </c>
      <c r="Q35" s="10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31" ht="12.75">
      <c r="A36" s="31" t="s">
        <v>22</v>
      </c>
      <c r="B36" s="29" t="s">
        <v>805</v>
      </c>
      <c r="C36" s="104">
        <v>3</v>
      </c>
      <c r="D36" s="21">
        <v>5</v>
      </c>
      <c r="E36" s="12">
        <v>89</v>
      </c>
      <c r="F36" s="125" t="s">
        <v>806</v>
      </c>
      <c r="G36" s="125">
        <v>7</v>
      </c>
      <c r="H36" s="109">
        <v>2.8935185185185184E-4</v>
      </c>
      <c r="I36" s="31" t="s">
        <v>217</v>
      </c>
      <c r="J36" s="21">
        <v>11</v>
      </c>
      <c r="K36" s="21">
        <v>104</v>
      </c>
      <c r="L36" s="12">
        <v>148</v>
      </c>
      <c r="M36" s="21">
        <v>5</v>
      </c>
      <c r="N36" s="125">
        <v>9.8699999999999992</v>
      </c>
      <c r="O36" s="125">
        <v>1345.45</v>
      </c>
      <c r="P36" s="9">
        <v>1.3657407407407407E-3</v>
      </c>
      <c r="Q36" s="10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75">
      <c r="A37" s="31" t="s">
        <v>39</v>
      </c>
      <c r="B37" s="29">
        <v>80</v>
      </c>
      <c r="C37" s="104">
        <v>649</v>
      </c>
      <c r="D37" s="29">
        <v>4.5</v>
      </c>
      <c r="E37" s="12">
        <v>60</v>
      </c>
      <c r="F37" s="125" t="s">
        <v>807</v>
      </c>
      <c r="G37" s="125">
        <v>133</v>
      </c>
      <c r="H37" s="109">
        <v>5.5555555555555556E-4</v>
      </c>
      <c r="I37" s="31" t="s">
        <v>218</v>
      </c>
      <c r="J37" s="21">
        <v>160</v>
      </c>
      <c r="K37" s="21">
        <v>802</v>
      </c>
      <c r="L37" s="12">
        <v>94</v>
      </c>
      <c r="M37" s="82">
        <v>45812</v>
      </c>
      <c r="N37" s="125">
        <v>6.27</v>
      </c>
      <c r="O37" s="125">
        <v>58.75</v>
      </c>
      <c r="P37" s="9">
        <v>9.1435185185185185E-4</v>
      </c>
      <c r="Q37" s="10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75">
      <c r="A38" s="31" t="s">
        <v>512</v>
      </c>
      <c r="B38" s="29">
        <v>39</v>
      </c>
      <c r="C38" s="104">
        <v>915</v>
      </c>
      <c r="D38" s="90">
        <v>3.9</v>
      </c>
      <c r="E38" s="12">
        <v>36</v>
      </c>
      <c r="F38" s="125" t="s">
        <v>808</v>
      </c>
      <c r="G38" s="125">
        <v>108</v>
      </c>
      <c r="H38" s="109">
        <v>4.9768518518518521E-4</v>
      </c>
      <c r="I38" s="31" t="s">
        <v>221</v>
      </c>
      <c r="J38" s="21">
        <v>33</v>
      </c>
      <c r="K38" s="21">
        <v>307</v>
      </c>
      <c r="L38" s="12">
        <v>18</v>
      </c>
      <c r="M38" s="82">
        <v>45692</v>
      </c>
      <c r="N38" s="125">
        <v>1.2</v>
      </c>
      <c r="O38" s="125">
        <v>54.55</v>
      </c>
      <c r="P38" s="9">
        <v>6.018518518518519E-4</v>
      </c>
      <c r="Q38" s="12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75">
      <c r="A39" s="31" t="s">
        <v>40</v>
      </c>
      <c r="B39" s="29">
        <v>77</v>
      </c>
      <c r="C39" s="104">
        <v>489</v>
      </c>
      <c r="D39" s="29">
        <v>4.4000000000000004</v>
      </c>
      <c r="E39" s="12">
        <v>45</v>
      </c>
      <c r="F39" s="125" t="s">
        <v>809</v>
      </c>
      <c r="G39" s="125">
        <v>171</v>
      </c>
      <c r="H39" s="109">
        <v>8.1018518518518516E-4</v>
      </c>
      <c r="I39" s="31" t="s">
        <v>223</v>
      </c>
      <c r="J39" s="21">
        <v>92</v>
      </c>
      <c r="K39" s="21">
        <v>491</v>
      </c>
      <c r="L39" s="12">
        <v>36</v>
      </c>
      <c r="M39" s="82">
        <v>45692</v>
      </c>
      <c r="N39" s="125">
        <v>2.4</v>
      </c>
      <c r="O39" s="125">
        <v>39.130000000000003</v>
      </c>
      <c r="P39" s="9">
        <v>8.2175925925925927E-4</v>
      </c>
      <c r="Q39" s="10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>
      <c r="A40" s="31" t="s">
        <v>137</v>
      </c>
      <c r="B40" s="21">
        <v>72</v>
      </c>
      <c r="C40" s="12">
        <v>600</v>
      </c>
      <c r="D40" s="29">
        <v>4.0999999999999996</v>
      </c>
      <c r="E40" s="12">
        <v>51</v>
      </c>
      <c r="F40" s="125" t="s">
        <v>810</v>
      </c>
      <c r="G40" s="125">
        <v>141</v>
      </c>
      <c r="H40" s="109">
        <v>1.4351851851851852E-3</v>
      </c>
      <c r="I40" s="31" t="s">
        <v>225</v>
      </c>
      <c r="J40" s="21">
        <v>54</v>
      </c>
      <c r="K40" s="21">
        <v>429</v>
      </c>
      <c r="L40" s="12">
        <v>32</v>
      </c>
      <c r="M40" s="21">
        <v>4</v>
      </c>
      <c r="N40" s="125">
        <v>2.13</v>
      </c>
      <c r="O40" s="125">
        <v>59.26</v>
      </c>
      <c r="P40" s="60">
        <v>5.3819444444444444E-3</v>
      </c>
      <c r="Q40" s="10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>
      <c r="A41" s="31" t="s">
        <v>93</v>
      </c>
      <c r="B41" s="90">
        <v>37</v>
      </c>
      <c r="C41" s="104">
        <v>473</v>
      </c>
      <c r="D41" s="21">
        <v>4.3</v>
      </c>
      <c r="E41" s="12">
        <v>14</v>
      </c>
      <c r="F41" s="125" t="s">
        <v>811</v>
      </c>
      <c r="G41" s="125">
        <v>264</v>
      </c>
      <c r="H41" s="113">
        <v>6.8865740740740745E-3</v>
      </c>
      <c r="I41" s="31" t="s">
        <v>227</v>
      </c>
      <c r="J41" s="21">
        <v>59</v>
      </c>
      <c r="K41" s="21">
        <v>78</v>
      </c>
      <c r="L41" s="12">
        <v>0</v>
      </c>
      <c r="M41" s="82">
        <v>45781</v>
      </c>
      <c r="N41" s="128">
        <v>0</v>
      </c>
      <c r="O41" s="125">
        <v>0</v>
      </c>
      <c r="P41" s="9">
        <v>5.9027777777777778E-4</v>
      </c>
      <c r="Q41" s="12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>
      <c r="A42" s="31" t="s">
        <v>515</v>
      </c>
      <c r="B42" s="29">
        <v>22</v>
      </c>
      <c r="C42" s="104">
        <v>70</v>
      </c>
      <c r="D42" s="29">
        <v>4.3</v>
      </c>
      <c r="E42" s="12">
        <v>2</v>
      </c>
      <c r="F42" s="125" t="s">
        <v>812</v>
      </c>
      <c r="G42" s="125">
        <v>1100</v>
      </c>
      <c r="H42" s="114">
        <v>6.3657407407407413E-4</v>
      </c>
      <c r="I42" s="31" t="s">
        <v>813</v>
      </c>
      <c r="J42" s="29">
        <v>107</v>
      </c>
      <c r="K42" s="29">
        <v>534</v>
      </c>
      <c r="L42" s="12">
        <v>26</v>
      </c>
      <c r="M42" s="82">
        <v>45720</v>
      </c>
      <c r="N42" s="125">
        <v>1.73</v>
      </c>
      <c r="O42" s="125">
        <v>24.3</v>
      </c>
      <c r="P42" s="9">
        <v>1.4004629629629629E-3</v>
      </c>
      <c r="Q42" s="10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>
      <c r="A43" s="31" t="s">
        <v>814</v>
      </c>
      <c r="B43" s="29" t="s">
        <v>815</v>
      </c>
      <c r="C43" s="104">
        <v>81</v>
      </c>
      <c r="D43" s="21">
        <v>5</v>
      </c>
      <c r="E43" s="12">
        <v>7</v>
      </c>
      <c r="F43" s="125" t="s">
        <v>816</v>
      </c>
      <c r="G43" s="125">
        <v>200</v>
      </c>
      <c r="H43" s="114">
        <v>3.1250000000000001E-4</v>
      </c>
      <c r="I43" s="31" t="s">
        <v>228</v>
      </c>
      <c r="J43" s="29">
        <v>135</v>
      </c>
      <c r="K43" s="29">
        <v>629</v>
      </c>
      <c r="L43" s="12">
        <v>32</v>
      </c>
      <c r="M43" s="82">
        <v>45692</v>
      </c>
      <c r="N43" s="125">
        <v>2.13</v>
      </c>
      <c r="O43" s="125">
        <v>23.7</v>
      </c>
      <c r="P43" s="9">
        <v>1.8518518518518519E-3</v>
      </c>
      <c r="Q43" s="10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75">
      <c r="A44" s="31" t="s">
        <v>20</v>
      </c>
      <c r="B44" s="29">
        <v>60</v>
      </c>
      <c r="C44" s="104">
        <v>683</v>
      </c>
      <c r="D44" s="21">
        <v>4.3</v>
      </c>
      <c r="E44" s="12">
        <v>50</v>
      </c>
      <c r="F44" s="125" t="s">
        <v>817</v>
      </c>
      <c r="G44" s="125">
        <v>120</v>
      </c>
      <c r="H44" s="109">
        <v>1.0648148148148149E-3</v>
      </c>
      <c r="I44" s="31" t="s">
        <v>14</v>
      </c>
      <c r="J44" s="21">
        <v>152</v>
      </c>
      <c r="K44" s="21">
        <v>664</v>
      </c>
      <c r="L44" s="12">
        <v>44</v>
      </c>
      <c r="M44" s="82">
        <v>45842</v>
      </c>
      <c r="N44" s="125">
        <v>2.93</v>
      </c>
      <c r="O44" s="125">
        <v>28.95</v>
      </c>
      <c r="P44" s="9">
        <v>1.9791666666666668E-3</v>
      </c>
      <c r="Q44" s="106"/>
      <c r="R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>
      <c r="A45" s="31" t="s">
        <v>27</v>
      </c>
      <c r="B45" s="29">
        <v>58</v>
      </c>
      <c r="C45" s="104">
        <v>658</v>
      </c>
      <c r="D45" s="29">
        <v>4.5999999999999996</v>
      </c>
      <c r="E45" s="104">
        <v>36</v>
      </c>
      <c r="F45" s="125" t="s">
        <v>808</v>
      </c>
      <c r="G45" s="125">
        <v>161</v>
      </c>
      <c r="H45" s="115" t="s">
        <v>818</v>
      </c>
      <c r="I45" s="31" t="s">
        <v>229</v>
      </c>
      <c r="J45" s="21">
        <v>156</v>
      </c>
      <c r="K45" s="21">
        <v>626</v>
      </c>
      <c r="L45" s="12">
        <v>49</v>
      </c>
      <c r="M45" s="82">
        <v>45692</v>
      </c>
      <c r="N45" s="125">
        <v>3.27</v>
      </c>
      <c r="O45" s="125">
        <v>31.41</v>
      </c>
      <c r="P45" s="9">
        <v>9.2592592592592596E-4</v>
      </c>
      <c r="Q45" s="12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>
      <c r="A46" s="31" t="s">
        <v>38</v>
      </c>
      <c r="B46" s="29">
        <v>121</v>
      </c>
      <c r="C46" s="104">
        <v>720</v>
      </c>
      <c r="D46" s="21">
        <v>4.3</v>
      </c>
      <c r="E46" s="12">
        <v>50</v>
      </c>
      <c r="F46" s="125" t="s">
        <v>817</v>
      </c>
      <c r="G46" s="125">
        <v>242</v>
      </c>
      <c r="H46" s="109">
        <v>9.9537037037037042E-4</v>
      </c>
      <c r="I46" s="31" t="s">
        <v>520</v>
      </c>
      <c r="J46" s="21">
        <v>22</v>
      </c>
      <c r="K46" s="21">
        <v>613</v>
      </c>
      <c r="L46" s="12">
        <v>53</v>
      </c>
      <c r="M46" s="82">
        <v>45720</v>
      </c>
      <c r="N46" s="125">
        <v>3.53</v>
      </c>
      <c r="O46" s="125">
        <v>240.91</v>
      </c>
      <c r="P46" s="9">
        <v>2.0370370370370369E-3</v>
      </c>
      <c r="Q46" s="12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>
      <c r="A47" s="31" t="s">
        <v>519</v>
      </c>
      <c r="B47" s="90">
        <v>10</v>
      </c>
      <c r="C47" s="104">
        <v>697</v>
      </c>
      <c r="D47" s="21">
        <v>4.4000000000000004</v>
      </c>
      <c r="E47" s="12">
        <v>56</v>
      </c>
      <c r="F47" s="125" t="s">
        <v>819</v>
      </c>
      <c r="G47" s="125">
        <v>18</v>
      </c>
      <c r="H47" s="114">
        <v>1.1805555555555556E-3</v>
      </c>
      <c r="I47" s="31" t="s">
        <v>233</v>
      </c>
      <c r="J47" s="21">
        <v>158</v>
      </c>
      <c r="K47" s="21">
        <v>445</v>
      </c>
      <c r="L47" s="12">
        <v>37</v>
      </c>
      <c r="M47" s="82">
        <v>45692</v>
      </c>
      <c r="N47" s="125">
        <v>2.4700000000000002</v>
      </c>
      <c r="O47" s="125">
        <v>23.42</v>
      </c>
      <c r="P47" s="9">
        <v>1.7592592592592592E-3</v>
      </c>
      <c r="Q47" s="12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>
      <c r="A48" s="31" t="s">
        <v>522</v>
      </c>
      <c r="B48" s="90">
        <v>48</v>
      </c>
      <c r="C48" s="104">
        <v>327</v>
      </c>
      <c r="D48" s="29">
        <v>4.4000000000000004</v>
      </c>
      <c r="E48" s="12">
        <v>27</v>
      </c>
      <c r="F48" s="125" t="s">
        <v>820</v>
      </c>
      <c r="G48" s="125">
        <v>178</v>
      </c>
      <c r="H48" s="114">
        <v>8.6805555555555551E-4</v>
      </c>
      <c r="I48" s="31" t="s">
        <v>236</v>
      </c>
      <c r="J48" s="21">
        <v>208</v>
      </c>
      <c r="K48" s="21">
        <v>604</v>
      </c>
      <c r="L48" s="12">
        <v>67</v>
      </c>
      <c r="M48" s="82">
        <v>45781</v>
      </c>
      <c r="N48" s="125">
        <v>4.47</v>
      </c>
      <c r="O48" s="125">
        <v>32.21</v>
      </c>
      <c r="P48" s="9">
        <v>1.4699074074074074E-3</v>
      </c>
      <c r="Q48" s="12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75">
      <c r="A49" s="31" t="s">
        <v>42</v>
      </c>
      <c r="B49" s="115" t="s">
        <v>821</v>
      </c>
      <c r="C49" s="116" t="s">
        <v>822</v>
      </c>
      <c r="D49" s="29">
        <v>4.5</v>
      </c>
      <c r="E49" s="12">
        <v>63</v>
      </c>
      <c r="F49" s="125" t="s">
        <v>823</v>
      </c>
      <c r="G49" s="125">
        <v>202</v>
      </c>
      <c r="H49" s="109">
        <v>4.3981481481481481E-4</v>
      </c>
      <c r="I49" s="7"/>
      <c r="J49" s="119" t="s">
        <v>775</v>
      </c>
      <c r="K49" s="117">
        <v>10475</v>
      </c>
      <c r="L49" s="92">
        <v>974</v>
      </c>
      <c r="M49" s="92" t="s">
        <v>490</v>
      </c>
      <c r="P49" s="119" t="s">
        <v>824</v>
      </c>
      <c r="Q49" s="10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75">
      <c r="A50" s="30"/>
      <c r="B50" s="117" t="s">
        <v>825</v>
      </c>
      <c r="C50" s="119" t="s">
        <v>826</v>
      </c>
      <c r="D50" s="92" t="s">
        <v>525</v>
      </c>
      <c r="E50" s="117">
        <v>918</v>
      </c>
      <c r="F50" s="7"/>
      <c r="G50" s="7"/>
      <c r="H50" s="92" t="s">
        <v>827</v>
      </c>
      <c r="Q50" s="129"/>
    </row>
    <row r="51" spans="1:31" ht="12.75">
      <c r="A51" s="3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31" ht="18.75">
      <c r="A52" s="42" t="s">
        <v>110</v>
      </c>
      <c r="B52" s="43" t="s">
        <v>0</v>
      </c>
      <c r="C52" s="43" t="s">
        <v>5</v>
      </c>
      <c r="D52" s="43" t="s">
        <v>828</v>
      </c>
      <c r="E52" s="43" t="s">
        <v>17</v>
      </c>
      <c r="F52" s="43" t="s">
        <v>16</v>
      </c>
      <c r="G52" s="43" t="s">
        <v>1</v>
      </c>
      <c r="H52" s="130" t="s">
        <v>829</v>
      </c>
      <c r="I52" s="43" t="s">
        <v>7</v>
      </c>
      <c r="J52" s="43" t="s">
        <v>4</v>
      </c>
      <c r="K52" s="43" t="s">
        <v>830</v>
      </c>
      <c r="Q52" s="7"/>
    </row>
    <row r="53" spans="1:31" ht="18.75">
      <c r="A53" s="42"/>
      <c r="B53" s="131" t="s">
        <v>831</v>
      </c>
      <c r="C53" s="131" t="s">
        <v>832</v>
      </c>
      <c r="D53" s="131" t="s">
        <v>833</v>
      </c>
      <c r="E53" s="132" t="s">
        <v>834</v>
      </c>
      <c r="F53" s="131" t="s">
        <v>835</v>
      </c>
      <c r="G53" s="131" t="s">
        <v>836</v>
      </c>
      <c r="H53" s="131" t="s">
        <v>837</v>
      </c>
      <c r="I53" s="131" t="s">
        <v>838</v>
      </c>
      <c r="J53" s="131" t="s">
        <v>839</v>
      </c>
      <c r="K53" s="131" t="s">
        <v>840</v>
      </c>
      <c r="Q53" s="7"/>
    </row>
    <row r="54" spans="1:31" ht="12.75">
      <c r="A54" s="3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31" ht="15">
      <c r="A55" s="133" t="s">
        <v>147</v>
      </c>
      <c r="B55" s="133" t="s">
        <v>148</v>
      </c>
      <c r="C55" s="134" t="s">
        <v>149</v>
      </c>
      <c r="D55" s="134" t="s">
        <v>246</v>
      </c>
      <c r="E55" s="134" t="s">
        <v>247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">
      <c r="A56" s="135" t="s">
        <v>841</v>
      </c>
      <c r="B56" s="136">
        <v>45962</v>
      </c>
      <c r="C56" s="137" t="s">
        <v>257</v>
      </c>
      <c r="D56" s="138" t="s">
        <v>272</v>
      </c>
      <c r="E56" s="138" t="s">
        <v>842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">
      <c r="A57" s="135" t="s">
        <v>843</v>
      </c>
      <c r="B57" s="136">
        <v>45963</v>
      </c>
      <c r="C57" s="138" t="s">
        <v>288</v>
      </c>
      <c r="D57" s="138" t="s">
        <v>748</v>
      </c>
      <c r="E57" s="138" t="s">
        <v>844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">
      <c r="A58" s="135" t="s">
        <v>845</v>
      </c>
      <c r="B58" s="136">
        <v>45964</v>
      </c>
      <c r="C58" s="138" t="s">
        <v>288</v>
      </c>
      <c r="D58" s="138" t="s">
        <v>339</v>
      </c>
      <c r="E58" s="138" t="s">
        <v>846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">
      <c r="A59" s="137" t="s">
        <v>847</v>
      </c>
      <c r="B59" s="136">
        <v>45964</v>
      </c>
      <c r="C59" s="137" t="s">
        <v>257</v>
      </c>
      <c r="D59" s="138" t="s">
        <v>339</v>
      </c>
      <c r="E59" s="138" t="s">
        <v>848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">
      <c r="A60" s="138" t="s">
        <v>849</v>
      </c>
      <c r="B60" s="136">
        <v>45965</v>
      </c>
      <c r="C60" s="138" t="s">
        <v>158</v>
      </c>
      <c r="D60" s="138" t="s">
        <v>748</v>
      </c>
      <c r="E60" s="139" t="s">
        <v>850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">
      <c r="A61" s="135" t="s">
        <v>851</v>
      </c>
      <c r="B61" s="136">
        <v>45966</v>
      </c>
      <c r="C61" s="138" t="s">
        <v>277</v>
      </c>
      <c r="D61" s="138" t="s">
        <v>272</v>
      </c>
      <c r="E61" s="139" t="s">
        <v>852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">
      <c r="A62" s="135" t="s">
        <v>853</v>
      </c>
      <c r="B62" s="140">
        <v>45966</v>
      </c>
      <c r="C62" s="137" t="s">
        <v>158</v>
      </c>
      <c r="D62" s="139" t="s">
        <v>748</v>
      </c>
      <c r="E62" s="139" t="s">
        <v>854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">
      <c r="A63" s="137" t="s">
        <v>855</v>
      </c>
      <c r="B63" s="140">
        <v>45966</v>
      </c>
      <c r="C63" s="139" t="s">
        <v>856</v>
      </c>
      <c r="D63" s="139" t="s">
        <v>748</v>
      </c>
      <c r="E63" s="139" t="s">
        <v>857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">
      <c r="A64" s="137" t="s">
        <v>858</v>
      </c>
      <c r="B64" s="140">
        <v>45966</v>
      </c>
      <c r="C64" s="138" t="s">
        <v>171</v>
      </c>
      <c r="D64" s="139" t="s">
        <v>462</v>
      </c>
      <c r="E64" s="139" t="s">
        <v>859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">
      <c r="A65" s="137" t="s">
        <v>860</v>
      </c>
      <c r="B65" s="140">
        <v>45967</v>
      </c>
      <c r="C65" s="138" t="s">
        <v>164</v>
      </c>
      <c r="D65" s="138" t="s">
        <v>748</v>
      </c>
      <c r="E65" s="139" t="s">
        <v>861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">
      <c r="A66" s="135" t="s">
        <v>862</v>
      </c>
      <c r="B66" s="140">
        <v>45968</v>
      </c>
      <c r="C66" s="138" t="s">
        <v>171</v>
      </c>
      <c r="D66" s="139" t="s">
        <v>756</v>
      </c>
      <c r="E66" s="139" t="s">
        <v>863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">
      <c r="A67" s="137" t="s">
        <v>864</v>
      </c>
      <c r="B67" s="140">
        <v>45968</v>
      </c>
      <c r="C67" s="138" t="s">
        <v>277</v>
      </c>
      <c r="D67" s="139" t="s">
        <v>756</v>
      </c>
      <c r="E67" s="139" t="s">
        <v>865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">
      <c r="A68" s="139" t="s">
        <v>866</v>
      </c>
      <c r="B68" s="140">
        <v>45968</v>
      </c>
      <c r="C68" s="138" t="s">
        <v>608</v>
      </c>
      <c r="D68" s="139" t="s">
        <v>867</v>
      </c>
      <c r="E68" s="139" t="s">
        <v>868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>
      <c r="A69" s="139" t="s">
        <v>869</v>
      </c>
      <c r="B69" s="140">
        <v>45968</v>
      </c>
      <c r="C69" s="139" t="s">
        <v>587</v>
      </c>
      <c r="D69" s="139" t="s">
        <v>870</v>
      </c>
      <c r="E69" s="139" t="s">
        <v>871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">
      <c r="A70" s="139" t="s">
        <v>872</v>
      </c>
      <c r="B70" s="140">
        <v>45968</v>
      </c>
      <c r="C70" s="138" t="s">
        <v>171</v>
      </c>
      <c r="D70" s="139" t="s">
        <v>756</v>
      </c>
      <c r="E70" s="139" t="s">
        <v>873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">
      <c r="A71" s="135" t="s">
        <v>874</v>
      </c>
      <c r="B71" s="140">
        <v>45968</v>
      </c>
      <c r="C71" s="139" t="s">
        <v>164</v>
      </c>
      <c r="D71" s="139" t="s">
        <v>875</v>
      </c>
      <c r="E71" s="139" t="s">
        <v>876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">
      <c r="A72" s="135" t="s">
        <v>877</v>
      </c>
      <c r="B72" s="140">
        <v>45969</v>
      </c>
      <c r="C72" s="139" t="s">
        <v>444</v>
      </c>
      <c r="D72" s="139" t="s">
        <v>742</v>
      </c>
      <c r="E72" s="139" t="s">
        <v>878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">
      <c r="A73" s="139" t="s">
        <v>879</v>
      </c>
      <c r="B73" s="140">
        <v>45969</v>
      </c>
      <c r="C73" s="135" t="s">
        <v>738</v>
      </c>
      <c r="D73" s="139" t="s">
        <v>756</v>
      </c>
      <c r="E73" s="139" t="s">
        <v>880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>
      <c r="A74" s="139" t="s">
        <v>881</v>
      </c>
      <c r="B74" s="141">
        <v>45969</v>
      </c>
      <c r="C74" s="139" t="s">
        <v>882</v>
      </c>
      <c r="D74" s="139" t="s">
        <v>546</v>
      </c>
      <c r="E74" s="139" t="s">
        <v>883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">
      <c r="A75" s="139" t="s">
        <v>884</v>
      </c>
      <c r="B75" s="140">
        <v>45970</v>
      </c>
      <c r="C75" s="138" t="s">
        <v>885</v>
      </c>
      <c r="D75" s="139" t="s">
        <v>742</v>
      </c>
      <c r="E75" s="139" t="s">
        <v>886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">
      <c r="A76" s="139" t="s">
        <v>887</v>
      </c>
      <c r="B76" s="140">
        <v>45970</v>
      </c>
      <c r="C76" s="138" t="s">
        <v>608</v>
      </c>
      <c r="D76" s="139" t="s">
        <v>742</v>
      </c>
      <c r="E76" s="139" t="s">
        <v>888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">
      <c r="A77" s="139" t="s">
        <v>889</v>
      </c>
      <c r="B77" s="140">
        <v>45970</v>
      </c>
      <c r="C77" s="138" t="s">
        <v>277</v>
      </c>
      <c r="D77" s="139" t="s">
        <v>689</v>
      </c>
      <c r="E77" s="139" t="s">
        <v>890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">
      <c r="A78" s="135" t="s">
        <v>891</v>
      </c>
      <c r="B78" s="140">
        <v>45971</v>
      </c>
      <c r="C78" s="139" t="s">
        <v>587</v>
      </c>
      <c r="D78" s="139" t="s">
        <v>742</v>
      </c>
      <c r="E78" s="139" t="s">
        <v>892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">
      <c r="A79" s="135" t="s">
        <v>893</v>
      </c>
      <c r="B79" s="140">
        <v>45971</v>
      </c>
      <c r="C79" s="138" t="s">
        <v>608</v>
      </c>
      <c r="D79" s="139" t="s">
        <v>894</v>
      </c>
      <c r="E79" s="139" t="s">
        <v>895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">
      <c r="A80" s="137" t="s">
        <v>896</v>
      </c>
      <c r="B80" s="140">
        <v>45971</v>
      </c>
      <c r="C80" s="138" t="s">
        <v>608</v>
      </c>
      <c r="D80" s="139" t="s">
        <v>742</v>
      </c>
      <c r="E80" s="139" t="s">
        <v>897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">
      <c r="A81" s="139" t="s">
        <v>898</v>
      </c>
      <c r="B81" s="140">
        <v>45971</v>
      </c>
      <c r="C81" s="138" t="s">
        <v>158</v>
      </c>
      <c r="D81" s="139" t="s">
        <v>666</v>
      </c>
      <c r="E81" s="139" t="s">
        <v>899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">
      <c r="A82" s="139" t="s">
        <v>900</v>
      </c>
      <c r="B82" s="140">
        <v>45971</v>
      </c>
      <c r="C82" s="138" t="s">
        <v>608</v>
      </c>
      <c r="D82" s="139" t="s">
        <v>901</v>
      </c>
      <c r="E82" s="139" t="s">
        <v>902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>
      <c r="A83" s="139" t="s">
        <v>903</v>
      </c>
      <c r="B83" s="140">
        <v>45971</v>
      </c>
      <c r="C83" s="139" t="s">
        <v>171</v>
      </c>
      <c r="D83" s="139" t="s">
        <v>756</v>
      </c>
      <c r="E83" s="139" t="s">
        <v>904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>
      <c r="A84" s="139" t="s">
        <v>905</v>
      </c>
      <c r="B84" s="140">
        <v>45971</v>
      </c>
      <c r="C84" s="139" t="s">
        <v>263</v>
      </c>
      <c r="D84" s="139" t="s">
        <v>901</v>
      </c>
      <c r="E84" s="139" t="s">
        <v>906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">
      <c r="A85" s="139" t="s">
        <v>907</v>
      </c>
      <c r="B85" s="140">
        <v>45972</v>
      </c>
      <c r="C85" s="138" t="s">
        <v>456</v>
      </c>
      <c r="D85" s="139" t="s">
        <v>894</v>
      </c>
      <c r="E85" s="139" t="s">
        <v>908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>
      <c r="A86" s="139" t="s">
        <v>909</v>
      </c>
      <c r="B86" s="140">
        <v>45972</v>
      </c>
      <c r="C86" s="139" t="s">
        <v>158</v>
      </c>
      <c r="D86" s="139" t="s">
        <v>756</v>
      </c>
      <c r="E86" s="139" t="s">
        <v>910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>
      <c r="A87" s="139" t="s">
        <v>911</v>
      </c>
      <c r="B87" s="140">
        <v>45973</v>
      </c>
      <c r="C87" s="139" t="s">
        <v>303</v>
      </c>
      <c r="D87" s="139" t="s">
        <v>912</v>
      </c>
      <c r="E87" s="139" t="s">
        <v>913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">
      <c r="A88" s="139" t="s">
        <v>914</v>
      </c>
      <c r="B88" s="140">
        <v>45973</v>
      </c>
      <c r="C88" s="137" t="s">
        <v>158</v>
      </c>
      <c r="D88" s="139" t="s">
        <v>339</v>
      </c>
      <c r="E88" s="139" t="s">
        <v>915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">
      <c r="A89" s="139" t="s">
        <v>916</v>
      </c>
      <c r="B89" s="140">
        <v>45973</v>
      </c>
      <c r="C89" s="138" t="s">
        <v>277</v>
      </c>
      <c r="D89" s="139" t="s">
        <v>917</v>
      </c>
      <c r="E89" s="139" t="s">
        <v>918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">
      <c r="A90" s="135" t="s">
        <v>919</v>
      </c>
      <c r="B90" s="140">
        <v>45973</v>
      </c>
      <c r="C90" s="137" t="s">
        <v>158</v>
      </c>
      <c r="D90" s="139" t="s">
        <v>756</v>
      </c>
      <c r="E90" s="139" t="s">
        <v>920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">
      <c r="A91" s="139" t="s">
        <v>921</v>
      </c>
      <c r="B91" s="140">
        <v>45973</v>
      </c>
      <c r="C91" s="138" t="s">
        <v>277</v>
      </c>
      <c r="D91" s="139" t="s">
        <v>922</v>
      </c>
      <c r="E91" s="139" t="s">
        <v>923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>
      <c r="A92" s="139" t="s">
        <v>924</v>
      </c>
      <c r="B92" s="140">
        <v>45973</v>
      </c>
      <c r="C92" s="139" t="s">
        <v>257</v>
      </c>
      <c r="D92" s="139" t="s">
        <v>917</v>
      </c>
      <c r="E92" s="139" t="s">
        <v>925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">
      <c r="A93" s="139" t="s">
        <v>926</v>
      </c>
      <c r="B93" s="140">
        <v>45973</v>
      </c>
      <c r="C93" s="137" t="s">
        <v>158</v>
      </c>
      <c r="D93" s="139" t="s">
        <v>927</v>
      </c>
      <c r="E93" s="106" t="s">
        <v>928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">
      <c r="A94" s="139" t="s">
        <v>929</v>
      </c>
      <c r="B94" s="140">
        <v>45974</v>
      </c>
      <c r="C94" s="137" t="s">
        <v>158</v>
      </c>
      <c r="D94" s="139" t="s">
        <v>930</v>
      </c>
      <c r="E94" s="139" t="s">
        <v>931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">
      <c r="A95" s="139" t="s">
        <v>932</v>
      </c>
      <c r="B95" s="140">
        <v>45974</v>
      </c>
      <c r="C95" s="138" t="s">
        <v>277</v>
      </c>
      <c r="D95" s="139" t="s">
        <v>629</v>
      </c>
      <c r="E95" s="139" t="s">
        <v>933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>
      <c r="A96" s="139" t="s">
        <v>934</v>
      </c>
      <c r="B96" s="140">
        <v>45974</v>
      </c>
      <c r="C96" s="139" t="s">
        <v>158</v>
      </c>
      <c r="D96" s="139" t="s">
        <v>912</v>
      </c>
      <c r="E96" s="139" t="s">
        <v>935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>
      <c r="A97" s="139" t="s">
        <v>936</v>
      </c>
      <c r="B97" s="140">
        <v>45974</v>
      </c>
      <c r="C97" s="139" t="s">
        <v>303</v>
      </c>
      <c r="D97" s="139" t="s">
        <v>756</v>
      </c>
      <c r="E97" s="139" t="s">
        <v>937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">
      <c r="A98" s="97" t="s">
        <v>938</v>
      </c>
      <c r="B98" s="140">
        <v>45974</v>
      </c>
      <c r="C98" s="138" t="s">
        <v>277</v>
      </c>
      <c r="D98" s="139" t="s">
        <v>629</v>
      </c>
      <c r="E98" s="139" t="s">
        <v>939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2.75">
      <c r="A99" s="139" t="s">
        <v>940</v>
      </c>
      <c r="B99" s="140">
        <v>45974</v>
      </c>
      <c r="C99" s="139" t="s">
        <v>158</v>
      </c>
      <c r="D99" s="139" t="s">
        <v>742</v>
      </c>
      <c r="E99" s="139" t="s">
        <v>941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>
      <c r="A100" s="139" t="s">
        <v>942</v>
      </c>
      <c r="B100" s="140">
        <v>45975</v>
      </c>
      <c r="C100" s="139" t="s">
        <v>164</v>
      </c>
      <c r="D100" s="139" t="s">
        <v>339</v>
      </c>
      <c r="E100" s="139" t="s">
        <v>943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2.75">
      <c r="A101" s="139" t="s">
        <v>944</v>
      </c>
      <c r="B101" s="140">
        <v>45975</v>
      </c>
      <c r="C101" s="139" t="s">
        <v>587</v>
      </c>
      <c r="D101" s="139" t="s">
        <v>742</v>
      </c>
      <c r="E101" s="139" t="s">
        <v>945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">
      <c r="A102" s="139" t="s">
        <v>946</v>
      </c>
      <c r="B102" s="140">
        <v>45975</v>
      </c>
      <c r="C102" s="138" t="s">
        <v>277</v>
      </c>
      <c r="D102" s="139" t="s">
        <v>629</v>
      </c>
      <c r="E102" s="139" t="s">
        <v>947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">
      <c r="A103" s="139" t="s">
        <v>948</v>
      </c>
      <c r="B103" s="140">
        <v>45975</v>
      </c>
      <c r="C103" s="135" t="s">
        <v>738</v>
      </c>
      <c r="D103" s="139" t="s">
        <v>756</v>
      </c>
      <c r="E103" s="139" t="s">
        <v>949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">
      <c r="A104" s="133" t="s">
        <v>147</v>
      </c>
      <c r="B104" s="133" t="s">
        <v>148</v>
      </c>
      <c r="C104" s="134" t="s">
        <v>149</v>
      </c>
      <c r="D104" s="134" t="s">
        <v>246</v>
      </c>
      <c r="E104" s="134" t="s">
        <v>247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2.75">
      <c r="A105" s="139" t="s">
        <v>950</v>
      </c>
      <c r="B105" s="140">
        <v>45977</v>
      </c>
      <c r="C105" s="139" t="s">
        <v>158</v>
      </c>
      <c r="D105" s="139" t="s">
        <v>912</v>
      </c>
      <c r="E105" s="139" t="s">
        <v>951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2.75">
      <c r="A106" s="139" t="s">
        <v>952</v>
      </c>
      <c r="B106" s="140">
        <v>45977</v>
      </c>
      <c r="C106" s="139" t="s">
        <v>953</v>
      </c>
      <c r="D106" s="139" t="s">
        <v>954</v>
      </c>
      <c r="E106" s="139" t="s">
        <v>955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>
      <c r="A107" s="139" t="s">
        <v>956</v>
      </c>
      <c r="B107" s="140">
        <v>45978</v>
      </c>
      <c r="C107" s="139" t="s">
        <v>158</v>
      </c>
      <c r="D107" s="139" t="s">
        <v>912</v>
      </c>
      <c r="E107" s="139" t="s">
        <v>957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">
      <c r="A108" s="139" t="s">
        <v>958</v>
      </c>
      <c r="B108" s="140">
        <v>45978</v>
      </c>
      <c r="C108" s="135" t="s">
        <v>738</v>
      </c>
      <c r="D108" s="139" t="s">
        <v>912</v>
      </c>
      <c r="E108" s="139" t="s">
        <v>959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>
      <c r="A109" s="139" t="s">
        <v>960</v>
      </c>
      <c r="B109" s="140">
        <v>45978</v>
      </c>
      <c r="C109" s="139" t="s">
        <v>171</v>
      </c>
      <c r="D109" s="139" t="s">
        <v>756</v>
      </c>
      <c r="E109" s="139" t="s">
        <v>961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>
      <c r="A110" s="139" t="s">
        <v>962</v>
      </c>
      <c r="B110" s="140">
        <v>45978</v>
      </c>
      <c r="C110" s="139" t="s">
        <v>963</v>
      </c>
      <c r="D110" s="139" t="s">
        <v>894</v>
      </c>
      <c r="E110" s="139" t="s">
        <v>964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">
      <c r="A111" s="139" t="s">
        <v>965</v>
      </c>
      <c r="B111" s="140">
        <v>45978</v>
      </c>
      <c r="C111" s="138" t="s">
        <v>564</v>
      </c>
      <c r="D111" s="139" t="s">
        <v>966</v>
      </c>
      <c r="E111" s="139" t="s">
        <v>967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>
      <c r="A112" s="139" t="s">
        <v>968</v>
      </c>
      <c r="B112" s="140">
        <v>45979</v>
      </c>
      <c r="C112" s="139" t="s">
        <v>171</v>
      </c>
      <c r="D112" s="139" t="s">
        <v>969</v>
      </c>
      <c r="E112" s="139" t="s">
        <v>970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>
      <c r="A113" s="139" t="s">
        <v>971</v>
      </c>
      <c r="B113" s="140">
        <v>45979</v>
      </c>
      <c r="C113" s="139" t="s">
        <v>171</v>
      </c>
      <c r="D113" s="139" t="s">
        <v>756</v>
      </c>
      <c r="E113" s="106" t="s">
        <v>972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">
      <c r="A114" s="138" t="s">
        <v>973</v>
      </c>
      <c r="B114" s="140">
        <v>45979</v>
      </c>
      <c r="C114" s="138" t="s">
        <v>564</v>
      </c>
      <c r="D114" s="138" t="s">
        <v>565</v>
      </c>
      <c r="E114" s="138" t="s">
        <v>974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">
      <c r="A115" s="139" t="s">
        <v>975</v>
      </c>
      <c r="B115" s="140">
        <v>45979</v>
      </c>
      <c r="C115" s="138" t="s">
        <v>564</v>
      </c>
      <c r="D115" s="138" t="s">
        <v>565</v>
      </c>
      <c r="E115" s="139" t="s">
        <v>976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>
      <c r="A116" s="139" t="s">
        <v>977</v>
      </c>
      <c r="B116" s="140">
        <v>45980</v>
      </c>
      <c r="C116" s="139" t="s">
        <v>171</v>
      </c>
      <c r="D116" s="139" t="s">
        <v>978</v>
      </c>
      <c r="E116" s="139" t="s">
        <v>979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>
      <c r="A117" s="139" t="s">
        <v>980</v>
      </c>
      <c r="B117" s="140">
        <v>45980</v>
      </c>
      <c r="C117" s="139" t="s">
        <v>981</v>
      </c>
      <c r="D117" s="139" t="s">
        <v>756</v>
      </c>
      <c r="E117" s="139" t="s">
        <v>982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">
      <c r="A118" s="139" t="s">
        <v>983</v>
      </c>
      <c r="B118" s="140">
        <v>45980</v>
      </c>
      <c r="C118" s="138" t="s">
        <v>564</v>
      </c>
      <c r="D118" s="139" t="s">
        <v>966</v>
      </c>
      <c r="E118" s="139" t="s">
        <v>984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>
      <c r="A119" s="139" t="s">
        <v>985</v>
      </c>
      <c r="B119" s="140">
        <v>45980</v>
      </c>
      <c r="C119" s="139" t="s">
        <v>158</v>
      </c>
      <c r="D119" s="139" t="s">
        <v>756</v>
      </c>
      <c r="E119" s="139" t="s">
        <v>986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">
      <c r="A120" s="139" t="s">
        <v>987</v>
      </c>
      <c r="B120" s="140">
        <v>45980</v>
      </c>
      <c r="C120" s="138" t="s">
        <v>398</v>
      </c>
      <c r="D120" s="139" t="s">
        <v>988</v>
      </c>
      <c r="E120" s="139" t="s">
        <v>989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>
      <c r="A121" s="139" t="s">
        <v>990</v>
      </c>
      <c r="B121" s="140">
        <v>45980</v>
      </c>
      <c r="C121" s="139" t="s">
        <v>991</v>
      </c>
      <c r="D121" s="139" t="s">
        <v>988</v>
      </c>
      <c r="E121" s="139" t="s">
        <v>992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>
      <c r="A122" s="139" t="s">
        <v>993</v>
      </c>
      <c r="B122" s="140">
        <v>45981</v>
      </c>
      <c r="C122" s="139" t="s">
        <v>171</v>
      </c>
      <c r="D122" s="139" t="s">
        <v>742</v>
      </c>
      <c r="E122" s="139" t="s">
        <v>994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>
      <c r="A123" s="139" t="s">
        <v>995</v>
      </c>
      <c r="B123" s="140">
        <v>45981</v>
      </c>
      <c r="C123" s="139" t="s">
        <v>996</v>
      </c>
      <c r="D123" s="139" t="s">
        <v>742</v>
      </c>
      <c r="E123" s="139" t="s">
        <v>997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75">
      <c r="A124" s="139" t="s">
        <v>998</v>
      </c>
      <c r="B124" s="140">
        <v>45981</v>
      </c>
      <c r="C124" s="139" t="s">
        <v>158</v>
      </c>
      <c r="D124" s="139" t="s">
        <v>894</v>
      </c>
      <c r="E124" s="139" t="s">
        <v>999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75">
      <c r="A125" s="139" t="s">
        <v>1000</v>
      </c>
      <c r="B125" s="140">
        <v>45981</v>
      </c>
      <c r="C125" s="139" t="s">
        <v>303</v>
      </c>
      <c r="D125" s="139" t="s">
        <v>742</v>
      </c>
      <c r="E125" s="139" t="s">
        <v>1001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>
      <c r="A126" s="139" t="s">
        <v>1002</v>
      </c>
      <c r="B126" s="140">
        <v>45981</v>
      </c>
      <c r="C126" s="139" t="s">
        <v>303</v>
      </c>
      <c r="D126" s="139" t="s">
        <v>894</v>
      </c>
      <c r="E126" s="139" t="s">
        <v>1003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">
      <c r="A127" s="139" t="s">
        <v>1004</v>
      </c>
      <c r="B127" s="140">
        <v>45981</v>
      </c>
      <c r="C127" s="138" t="s">
        <v>288</v>
      </c>
      <c r="D127" s="139" t="s">
        <v>894</v>
      </c>
      <c r="E127" s="139" t="s">
        <v>1005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">
      <c r="A128" s="139" t="s">
        <v>1006</v>
      </c>
      <c r="B128" s="140">
        <v>45981</v>
      </c>
      <c r="C128" s="138" t="s">
        <v>398</v>
      </c>
      <c r="D128" s="139" t="s">
        <v>894</v>
      </c>
      <c r="E128" s="139" t="s">
        <v>1007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>
      <c r="A129" s="139" t="s">
        <v>1008</v>
      </c>
      <c r="B129" s="140">
        <v>45980</v>
      </c>
      <c r="C129" s="139" t="s">
        <v>158</v>
      </c>
      <c r="D129" s="139" t="s">
        <v>1009</v>
      </c>
      <c r="E129" s="139" t="s">
        <v>1010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">
      <c r="A130" s="139" t="s">
        <v>1011</v>
      </c>
      <c r="B130" s="140">
        <v>45982</v>
      </c>
      <c r="C130" s="138" t="s">
        <v>398</v>
      </c>
      <c r="D130" s="139" t="s">
        <v>756</v>
      </c>
      <c r="E130" s="139" t="s">
        <v>1012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>
      <c r="A131" s="139" t="s">
        <v>1013</v>
      </c>
      <c r="B131" s="140">
        <v>45982</v>
      </c>
      <c r="C131" s="139" t="s">
        <v>171</v>
      </c>
      <c r="D131" s="139" t="s">
        <v>756</v>
      </c>
      <c r="E131" s="139" t="s">
        <v>1014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>
      <c r="A132" s="139" t="s">
        <v>1015</v>
      </c>
      <c r="B132" s="140">
        <v>45982</v>
      </c>
      <c r="C132" s="139" t="s">
        <v>171</v>
      </c>
      <c r="D132" s="139" t="s">
        <v>1016</v>
      </c>
      <c r="E132" s="139" t="s">
        <v>1017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>
      <c r="A133" s="139" t="s">
        <v>1018</v>
      </c>
      <c r="B133" s="140">
        <v>45982</v>
      </c>
      <c r="C133" s="139" t="s">
        <v>1019</v>
      </c>
      <c r="D133" s="139" t="s">
        <v>1020</v>
      </c>
      <c r="E133" s="139" t="s">
        <v>1021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>
      <c r="A134" s="139" t="s">
        <v>1022</v>
      </c>
      <c r="B134" s="140">
        <v>45982</v>
      </c>
      <c r="C134" s="139" t="s">
        <v>164</v>
      </c>
      <c r="D134" s="139" t="s">
        <v>1020</v>
      </c>
      <c r="E134" s="139" t="s">
        <v>1023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>
      <c r="A135" s="139" t="s">
        <v>1024</v>
      </c>
      <c r="B135" s="140">
        <v>45983</v>
      </c>
      <c r="C135" s="139" t="s">
        <v>158</v>
      </c>
      <c r="D135" s="139" t="s">
        <v>912</v>
      </c>
      <c r="E135" s="139" t="s">
        <v>1025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">
      <c r="A136" s="139" t="s">
        <v>1026</v>
      </c>
      <c r="B136" s="140">
        <v>45983</v>
      </c>
      <c r="C136" s="138" t="s">
        <v>1027</v>
      </c>
      <c r="D136" s="139" t="s">
        <v>894</v>
      </c>
      <c r="E136" s="139" t="s">
        <v>1028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">
      <c r="A137" s="139" t="s">
        <v>1029</v>
      </c>
      <c r="B137" s="140">
        <v>45984</v>
      </c>
      <c r="C137" s="138" t="s">
        <v>398</v>
      </c>
      <c r="D137" s="139" t="s">
        <v>894</v>
      </c>
      <c r="E137" s="139" t="s">
        <v>1030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>
      <c r="A138" s="139" t="s">
        <v>1031</v>
      </c>
      <c r="B138" s="140">
        <v>45985</v>
      </c>
      <c r="C138" s="142" t="s">
        <v>738</v>
      </c>
      <c r="D138" s="139" t="s">
        <v>1032</v>
      </c>
      <c r="E138" s="139" t="s">
        <v>1033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>
      <c r="A139" s="139" t="s">
        <v>1034</v>
      </c>
      <c r="B139" s="140">
        <v>45986</v>
      </c>
      <c r="C139" s="139" t="s">
        <v>171</v>
      </c>
      <c r="D139" s="139" t="s">
        <v>1035</v>
      </c>
      <c r="E139" s="139" t="s">
        <v>873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>
      <c r="A140" s="139" t="s">
        <v>1036</v>
      </c>
      <c r="B140" s="140">
        <v>45986</v>
      </c>
      <c r="C140" s="139" t="s">
        <v>282</v>
      </c>
      <c r="D140" s="139" t="s">
        <v>1037</v>
      </c>
      <c r="E140" s="139" t="s">
        <v>1038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>
      <c r="A141" s="139" t="s">
        <v>1039</v>
      </c>
      <c r="B141" s="140">
        <v>45986</v>
      </c>
      <c r="C141" s="139" t="s">
        <v>1040</v>
      </c>
      <c r="D141" s="139" t="s">
        <v>966</v>
      </c>
      <c r="E141" s="139" t="s">
        <v>1041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>
      <c r="A142" s="139" t="s">
        <v>1042</v>
      </c>
      <c r="B142" s="140">
        <v>45987</v>
      </c>
      <c r="C142" s="139" t="s">
        <v>153</v>
      </c>
      <c r="D142" s="139" t="s">
        <v>339</v>
      </c>
      <c r="E142" s="139" t="s">
        <v>1043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">
      <c r="A143" s="139" t="s">
        <v>1044</v>
      </c>
      <c r="B143" s="140">
        <v>45987</v>
      </c>
      <c r="C143" s="138" t="s">
        <v>398</v>
      </c>
      <c r="D143" s="139" t="s">
        <v>1045</v>
      </c>
      <c r="E143" s="139" t="s">
        <v>1046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">
      <c r="A144" s="139" t="s">
        <v>1047</v>
      </c>
      <c r="B144" s="140">
        <v>45987</v>
      </c>
      <c r="C144" s="138" t="s">
        <v>398</v>
      </c>
      <c r="D144" s="139" t="s">
        <v>1048</v>
      </c>
      <c r="E144" s="139" t="s">
        <v>1049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">
      <c r="A145" s="139" t="s">
        <v>1050</v>
      </c>
      <c r="B145" s="140">
        <v>45987</v>
      </c>
      <c r="C145" s="138" t="s">
        <v>277</v>
      </c>
      <c r="D145" s="135" t="s">
        <v>1051</v>
      </c>
      <c r="E145" s="139" t="s">
        <v>1052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>
      <c r="A146" s="139" t="s">
        <v>1053</v>
      </c>
      <c r="B146" s="140">
        <v>45987</v>
      </c>
      <c r="C146" s="139" t="s">
        <v>171</v>
      </c>
      <c r="D146" s="139" t="s">
        <v>1054</v>
      </c>
      <c r="E146" s="139" t="s">
        <v>1055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>
      <c r="A147" s="139" t="s">
        <v>1056</v>
      </c>
      <c r="B147" s="140">
        <v>45987</v>
      </c>
      <c r="C147" s="139" t="s">
        <v>158</v>
      </c>
      <c r="D147" s="139" t="s">
        <v>756</v>
      </c>
      <c r="E147" s="139" t="s">
        <v>1057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>
      <c r="A148" s="139" t="s">
        <v>1058</v>
      </c>
      <c r="B148" s="140">
        <v>45987</v>
      </c>
      <c r="C148" s="139" t="s">
        <v>564</v>
      </c>
      <c r="D148" s="139" t="s">
        <v>966</v>
      </c>
      <c r="E148" s="139" t="s">
        <v>1059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>
      <c r="A149" s="139" t="s">
        <v>1060</v>
      </c>
      <c r="B149" s="140">
        <v>45987</v>
      </c>
      <c r="C149" s="139" t="s">
        <v>346</v>
      </c>
      <c r="D149" s="139" t="s">
        <v>1061</v>
      </c>
      <c r="E149" s="139" t="s">
        <v>1062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">
      <c r="A150" s="139" t="s">
        <v>1063</v>
      </c>
      <c r="B150" s="140">
        <v>45988</v>
      </c>
      <c r="C150" s="138" t="s">
        <v>398</v>
      </c>
      <c r="D150" s="139" t="s">
        <v>756</v>
      </c>
      <c r="E150" s="139" t="s">
        <v>1064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">
      <c r="A151" s="139" t="s">
        <v>1065</v>
      </c>
      <c r="B151" s="140">
        <v>45988</v>
      </c>
      <c r="C151" s="138" t="s">
        <v>277</v>
      </c>
      <c r="D151" s="139" t="s">
        <v>1032</v>
      </c>
      <c r="E151" s="139" t="s">
        <v>1066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>
      <c r="A152" s="139" t="s">
        <v>1067</v>
      </c>
      <c r="B152" s="140">
        <v>45989</v>
      </c>
      <c r="C152" s="139" t="s">
        <v>288</v>
      </c>
      <c r="D152" s="139" t="s">
        <v>1032</v>
      </c>
      <c r="E152" s="139" t="s">
        <v>1068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>
      <c r="A153" s="139" t="s">
        <v>1069</v>
      </c>
      <c r="B153" s="140">
        <v>45989</v>
      </c>
      <c r="C153" s="139" t="s">
        <v>164</v>
      </c>
      <c r="D153" s="139" t="s">
        <v>1070</v>
      </c>
      <c r="E153" s="139" t="s">
        <v>1071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>
      <c r="A154" s="139" t="s">
        <v>1072</v>
      </c>
      <c r="B154" s="140">
        <v>45990</v>
      </c>
      <c r="C154" s="139" t="s">
        <v>171</v>
      </c>
      <c r="D154" s="139" t="s">
        <v>1073</v>
      </c>
      <c r="E154" s="139" t="s">
        <v>1074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>
      <c r="A155" s="139" t="s">
        <v>1075</v>
      </c>
      <c r="B155" s="140">
        <v>45990</v>
      </c>
      <c r="C155" s="139" t="s">
        <v>1076</v>
      </c>
      <c r="D155" s="139" t="s">
        <v>1032</v>
      </c>
      <c r="E155" s="139" t="s">
        <v>1077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>
      <c r="A156" s="139" t="s">
        <v>1078</v>
      </c>
      <c r="B156" s="140">
        <v>45991</v>
      </c>
      <c r="C156" s="139" t="s">
        <v>1079</v>
      </c>
      <c r="D156" s="139" t="s">
        <v>272</v>
      </c>
      <c r="E156" s="143">
        <v>0.41666666666666669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75">
      <c r="A157" s="139" t="s">
        <v>1080</v>
      </c>
      <c r="B157" s="140">
        <v>45991</v>
      </c>
      <c r="C157" s="139" t="s">
        <v>158</v>
      </c>
      <c r="D157" s="139" t="s">
        <v>339</v>
      </c>
      <c r="E157" s="143">
        <v>0.41666666666666669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>
      <c r="A234" s="16" t="s">
        <v>1081</v>
      </c>
      <c r="B234" s="17" t="s">
        <v>133</v>
      </c>
      <c r="C234" s="17" t="s">
        <v>505</v>
      </c>
      <c r="D234" s="17" t="s">
        <v>31</v>
      </c>
      <c r="E234" s="18" t="s">
        <v>32</v>
      </c>
      <c r="F234" s="18" t="s">
        <v>81</v>
      </c>
      <c r="G234" s="18" t="s">
        <v>36</v>
      </c>
      <c r="H234" s="19" t="s">
        <v>35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75">
      <c r="A235" s="20" t="s">
        <v>24</v>
      </c>
      <c r="B235" s="29">
        <v>55</v>
      </c>
      <c r="C235" s="104">
        <v>299</v>
      </c>
      <c r="D235" s="29">
        <v>4.2</v>
      </c>
      <c r="E235" s="12">
        <v>19</v>
      </c>
      <c r="F235" s="25" t="s">
        <v>793</v>
      </c>
      <c r="G235" s="25">
        <v>35</v>
      </c>
      <c r="H235" s="109">
        <v>9.0277777777777774E-4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75">
      <c r="A236" s="20" t="s">
        <v>86</v>
      </c>
      <c r="B236" s="29">
        <v>127</v>
      </c>
      <c r="C236" s="104">
        <v>333</v>
      </c>
      <c r="D236" s="29">
        <v>4.4000000000000004</v>
      </c>
      <c r="E236" s="12">
        <v>30</v>
      </c>
      <c r="F236" s="12" t="s">
        <v>802</v>
      </c>
      <c r="G236" s="12">
        <v>42</v>
      </c>
      <c r="H236" s="109">
        <v>7.7546296296296293E-4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75">
      <c r="A237" s="20" t="s">
        <v>87</v>
      </c>
      <c r="B237" s="103">
        <v>105</v>
      </c>
      <c r="C237" s="110">
        <v>591</v>
      </c>
      <c r="D237" s="29">
        <v>4.8</v>
      </c>
      <c r="E237" s="12">
        <v>29</v>
      </c>
      <c r="F237" s="25" t="s">
        <v>803</v>
      </c>
      <c r="G237" s="25">
        <v>36</v>
      </c>
      <c r="H237" s="109">
        <v>4.0509259259259258E-4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75">
      <c r="A238" s="20" t="s">
        <v>93</v>
      </c>
      <c r="B238" s="90">
        <v>37</v>
      </c>
      <c r="C238" s="104">
        <v>473</v>
      </c>
      <c r="D238" s="21">
        <v>4.3</v>
      </c>
      <c r="E238" s="12">
        <v>14</v>
      </c>
      <c r="F238" s="12" t="s">
        <v>811</v>
      </c>
      <c r="G238" s="12">
        <v>264</v>
      </c>
      <c r="H238" s="113">
        <v>6.8865740740740745E-3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>
      <c r="A239" s="16" t="s">
        <v>1082</v>
      </c>
      <c r="B239" s="17" t="s">
        <v>506</v>
      </c>
      <c r="C239" s="17" t="s">
        <v>505</v>
      </c>
      <c r="D239" s="18" t="s">
        <v>32</v>
      </c>
      <c r="E239" s="17" t="s">
        <v>31</v>
      </c>
      <c r="F239" s="18" t="s">
        <v>134</v>
      </c>
      <c r="G239" s="18" t="s">
        <v>36</v>
      </c>
      <c r="H239" s="81" t="s">
        <v>35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75">
      <c r="A240" s="20" t="s">
        <v>205</v>
      </c>
      <c r="B240" s="21">
        <v>74</v>
      </c>
      <c r="C240" s="21">
        <v>311</v>
      </c>
      <c r="D240" s="12">
        <v>18</v>
      </c>
      <c r="E240" s="112">
        <v>45872</v>
      </c>
      <c r="F240" s="25">
        <v>1.2</v>
      </c>
      <c r="G240" s="25">
        <v>24.32</v>
      </c>
      <c r="H240" s="9">
        <v>6.9444444444444447E-4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75">
      <c r="A241" s="20" t="s">
        <v>211</v>
      </c>
      <c r="B241" s="21">
        <v>137</v>
      </c>
      <c r="C241" s="21">
        <v>304</v>
      </c>
      <c r="D241" s="12">
        <v>25</v>
      </c>
      <c r="E241" s="82">
        <v>45751</v>
      </c>
      <c r="F241" s="12">
        <v>1.67</v>
      </c>
      <c r="G241" s="12">
        <v>18.25</v>
      </c>
      <c r="H241" s="9">
        <v>1.1574074074074073E-3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75">
      <c r="A242" s="20" t="s">
        <v>213</v>
      </c>
      <c r="B242" s="111">
        <v>135</v>
      </c>
      <c r="C242" s="111">
        <v>1072</v>
      </c>
      <c r="D242" s="12">
        <v>51</v>
      </c>
      <c r="E242" s="82">
        <v>45812</v>
      </c>
      <c r="F242" s="25">
        <v>3.4</v>
      </c>
      <c r="G242" s="25">
        <v>37.78</v>
      </c>
      <c r="H242" s="9">
        <v>8.2175925925925927E-4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75">
      <c r="A243" s="20" t="s">
        <v>225</v>
      </c>
      <c r="B243" s="21">
        <v>54</v>
      </c>
      <c r="C243" s="21">
        <v>429</v>
      </c>
      <c r="D243" s="12">
        <v>32</v>
      </c>
      <c r="E243" s="21">
        <v>4</v>
      </c>
      <c r="F243" s="25">
        <v>2.13</v>
      </c>
      <c r="G243" s="25">
        <v>59.26</v>
      </c>
      <c r="H243" s="60">
        <v>5.3819444444444444E-3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>
      <c r="A248" s="16" t="s">
        <v>1083</v>
      </c>
      <c r="B248" s="17" t="s">
        <v>133</v>
      </c>
      <c r="C248" s="17" t="s">
        <v>505</v>
      </c>
      <c r="D248" s="17" t="s">
        <v>31</v>
      </c>
      <c r="E248" s="18" t="s">
        <v>32</v>
      </c>
      <c r="F248" s="18" t="s">
        <v>81</v>
      </c>
      <c r="G248" s="18" t="s">
        <v>36</v>
      </c>
      <c r="H248" s="19" t="s">
        <v>35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75">
      <c r="A249" s="20" t="s">
        <v>24</v>
      </c>
      <c r="B249" s="90">
        <v>37</v>
      </c>
      <c r="C249" s="104">
        <v>419</v>
      </c>
      <c r="D249" s="107">
        <v>45781</v>
      </c>
      <c r="E249" s="12">
        <v>41</v>
      </c>
      <c r="F249" s="26">
        <v>2.73</v>
      </c>
      <c r="G249" s="25" t="s">
        <v>509</v>
      </c>
      <c r="H249" s="109">
        <v>2.2222222222222222E-3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75">
      <c r="A250" s="20" t="s">
        <v>86</v>
      </c>
      <c r="B250" s="29">
        <v>132</v>
      </c>
      <c r="C250" s="104">
        <v>236</v>
      </c>
      <c r="D250" s="107">
        <v>45781</v>
      </c>
      <c r="E250" s="12">
        <v>28</v>
      </c>
      <c r="F250" s="26">
        <v>1.87</v>
      </c>
      <c r="G250" s="25">
        <v>21.21</v>
      </c>
      <c r="H250" s="109">
        <v>2.2916666666666667E-3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75">
      <c r="A251" s="20" t="s">
        <v>87</v>
      </c>
      <c r="B251" s="103">
        <v>131</v>
      </c>
      <c r="C251" s="110">
        <v>476</v>
      </c>
      <c r="D251" s="107">
        <v>45781</v>
      </c>
      <c r="E251" s="12">
        <v>42</v>
      </c>
      <c r="F251" s="21">
        <v>2.8</v>
      </c>
      <c r="G251" s="12">
        <v>32.06</v>
      </c>
      <c r="H251" s="109">
        <v>1.1342592592592593E-3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75">
      <c r="A252" s="20" t="s">
        <v>93</v>
      </c>
      <c r="B252" s="90">
        <v>27</v>
      </c>
      <c r="C252" s="104">
        <v>487</v>
      </c>
      <c r="D252" s="21">
        <v>4</v>
      </c>
      <c r="E252" s="12">
        <v>34</v>
      </c>
      <c r="F252" s="21">
        <v>2.27</v>
      </c>
      <c r="G252" s="12" t="s">
        <v>513</v>
      </c>
      <c r="H252" s="113">
        <v>6.0185185185185185E-3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>
      <c r="A253" s="16" t="s">
        <v>1084</v>
      </c>
      <c r="B253" s="17" t="s">
        <v>506</v>
      </c>
      <c r="C253" s="17" t="s">
        <v>505</v>
      </c>
      <c r="D253" s="18" t="s">
        <v>32</v>
      </c>
      <c r="E253" s="17" t="s">
        <v>31</v>
      </c>
      <c r="F253" s="18" t="s">
        <v>134</v>
      </c>
      <c r="G253" s="18" t="s">
        <v>36</v>
      </c>
      <c r="H253" s="81" t="s">
        <v>35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75">
      <c r="A254" s="20" t="s">
        <v>205</v>
      </c>
      <c r="B254" s="87">
        <v>28</v>
      </c>
      <c r="C254" s="21">
        <v>355</v>
      </c>
      <c r="D254" s="12">
        <v>25</v>
      </c>
      <c r="E254" s="21">
        <v>4.4000000000000004</v>
      </c>
      <c r="F254" s="25">
        <v>1.67</v>
      </c>
      <c r="G254" s="26">
        <v>89.29</v>
      </c>
      <c r="H254" s="9">
        <v>2.0717592592592593E-3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75">
      <c r="A255" s="20" t="s">
        <v>211</v>
      </c>
      <c r="B255" s="21">
        <v>142</v>
      </c>
      <c r="C255" s="21">
        <v>414</v>
      </c>
      <c r="D255" s="12">
        <v>27</v>
      </c>
      <c r="E255" s="87">
        <v>3.7</v>
      </c>
      <c r="F255" s="25">
        <v>1.8</v>
      </c>
      <c r="G255" s="26">
        <v>19.010000000000002</v>
      </c>
      <c r="H255" s="9">
        <v>3.2175925925925926E-3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75">
      <c r="A256" s="20" t="s">
        <v>213</v>
      </c>
      <c r="B256" s="111">
        <v>143</v>
      </c>
      <c r="C256" s="111">
        <v>857</v>
      </c>
      <c r="D256" s="12">
        <v>39</v>
      </c>
      <c r="E256" s="21">
        <v>4.5999999999999996</v>
      </c>
      <c r="F256" s="12">
        <v>2.6</v>
      </c>
      <c r="G256" s="21">
        <v>27.27</v>
      </c>
      <c r="H256" s="9">
        <v>1.25E-3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75">
      <c r="A257" s="20" t="s">
        <v>225</v>
      </c>
      <c r="B257" s="21">
        <v>16</v>
      </c>
      <c r="C257" s="21">
        <v>409</v>
      </c>
      <c r="D257" s="12">
        <v>21</v>
      </c>
      <c r="E257" s="21">
        <v>4.5999999999999996</v>
      </c>
      <c r="F257" s="12">
        <v>1.4</v>
      </c>
      <c r="G257" s="21" t="s">
        <v>514</v>
      </c>
      <c r="H257" s="60">
        <v>5.3935185185185188E-3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</sheetData>
  <mergeCells count="35">
    <mergeCell ref="B1:D1"/>
    <mergeCell ref="E1:F1"/>
    <mergeCell ref="B2:D2"/>
    <mergeCell ref="E2:F2"/>
    <mergeCell ref="B3:D3"/>
    <mergeCell ref="E3:F3"/>
    <mergeCell ref="E4:F4"/>
    <mergeCell ref="B4:D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E11:F11"/>
    <mergeCell ref="B15:D15"/>
    <mergeCell ref="E15:F15"/>
    <mergeCell ref="B11:D11"/>
    <mergeCell ref="B12:D12"/>
    <mergeCell ref="E12:F12"/>
    <mergeCell ref="B13:D13"/>
    <mergeCell ref="E13:F13"/>
    <mergeCell ref="B14:D14"/>
    <mergeCell ref="E14:F14"/>
    <mergeCell ref="B16:D16"/>
    <mergeCell ref="E16:F16"/>
    <mergeCell ref="B17:D17"/>
    <mergeCell ref="E17:F17"/>
    <mergeCell ref="B18:D18"/>
  </mergeCells>
  <conditionalFormatting sqref="H2:H9 J2:K9">
    <cfRule type="notContainsBlanks" dxfId="5" priority="1">
      <formula>LEN(TRIM(H2))&gt;0</formula>
    </cfRule>
  </conditionalFormatting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764"/>
  <sheetViews>
    <sheetView workbookViewId="0"/>
  </sheetViews>
  <sheetFormatPr defaultColWidth="12.5703125" defaultRowHeight="15.75" customHeight="1"/>
  <cols>
    <col min="1" max="1" width="72.7109375" customWidth="1"/>
    <col min="2" max="2" width="14.28515625" customWidth="1"/>
    <col min="3" max="3" width="16.42578125" customWidth="1"/>
    <col min="4" max="4" width="14.85546875" customWidth="1"/>
    <col min="5" max="5" width="14.42578125" customWidth="1"/>
    <col min="6" max="6" width="15.140625" customWidth="1"/>
    <col min="7" max="7" width="12.5703125" customWidth="1"/>
    <col min="8" max="8" width="15.42578125" customWidth="1"/>
    <col min="9" max="9" width="14.140625" customWidth="1"/>
    <col min="10" max="10" width="14.7109375" customWidth="1"/>
    <col min="11" max="11" width="16" customWidth="1"/>
    <col min="12" max="12" width="13.28515625" customWidth="1"/>
    <col min="13" max="13" width="28" customWidth="1"/>
    <col min="14" max="14" width="15" customWidth="1"/>
    <col min="15" max="15" width="14" customWidth="1"/>
    <col min="16" max="16" width="14.85546875" customWidth="1"/>
  </cols>
  <sheetData>
    <row r="1" spans="1:25" ht="26.25">
      <c r="A1" s="4" t="s">
        <v>1085</v>
      </c>
      <c r="B1" s="5" t="s">
        <v>1086</v>
      </c>
      <c r="C1" s="5" t="s">
        <v>1087</v>
      </c>
      <c r="D1" s="5" t="s">
        <v>1088</v>
      </c>
      <c r="E1" s="5" t="s">
        <v>1089</v>
      </c>
      <c r="F1" s="5" t="s">
        <v>1090</v>
      </c>
      <c r="G1" s="5" t="s">
        <v>1091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7.25" customHeight="1">
      <c r="A2" s="8" t="s">
        <v>1092</v>
      </c>
      <c r="B2" s="46">
        <v>3.7303240740740741E-2</v>
      </c>
      <c r="C2" s="46">
        <v>4.5983796296296293E-2</v>
      </c>
      <c r="D2" s="46">
        <v>4.2754629629629629E-2</v>
      </c>
      <c r="E2" s="46">
        <v>3.1875000000000001E-2</v>
      </c>
      <c r="F2" s="46">
        <v>3.7812499999999999E-2</v>
      </c>
      <c r="G2" s="46">
        <v>3.9143518518518522E-2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1093</v>
      </c>
      <c r="B3" s="46">
        <v>1.5856481481481481E-3</v>
      </c>
      <c r="C3" s="46">
        <v>5.0810185185185186E-3</v>
      </c>
      <c r="D3" s="46">
        <v>7.4537037037037037E-3</v>
      </c>
      <c r="E3" s="46">
        <v>6.1111111111111114E-3</v>
      </c>
      <c r="F3" s="46">
        <v>7.1759259259259259E-3</v>
      </c>
      <c r="G3" s="46">
        <v>5.4861111111111109E-3</v>
      </c>
      <c r="H3" s="7"/>
      <c r="I3" s="7"/>
      <c r="J3" s="7"/>
      <c r="K3" s="7"/>
      <c r="L3" s="7"/>
      <c r="M3" s="7"/>
      <c r="N3" s="7"/>
      <c r="O3" s="7"/>
      <c r="P3" s="7"/>
      <c r="Q3" s="47" t="s">
        <v>47</v>
      </c>
      <c r="R3" s="7" t="s">
        <v>48</v>
      </c>
      <c r="S3" s="7"/>
      <c r="T3" s="7"/>
      <c r="U3" s="7"/>
      <c r="V3" s="7"/>
      <c r="W3" s="7"/>
      <c r="X3" s="7"/>
      <c r="Y3" s="7"/>
    </row>
    <row r="4" spans="1:25">
      <c r="A4" s="8" t="s">
        <v>1094</v>
      </c>
      <c r="B4" s="46">
        <v>1.2731481481481483E-3</v>
      </c>
      <c r="C4" s="46">
        <v>2.1064814814814813E-3</v>
      </c>
      <c r="D4" s="46">
        <v>2.3263888888888887E-3</v>
      </c>
      <c r="E4" s="46">
        <v>1.1921296296296296E-3</v>
      </c>
      <c r="F4" s="46">
        <v>1.724537037037037E-3</v>
      </c>
      <c r="G4" s="46">
        <v>1.724537037037037E-3</v>
      </c>
      <c r="H4" s="7"/>
      <c r="I4" s="7"/>
      <c r="J4" s="7"/>
      <c r="K4" s="7"/>
      <c r="L4" s="7"/>
      <c r="M4" s="7"/>
      <c r="N4" s="7"/>
      <c r="O4" s="7"/>
      <c r="P4" s="7"/>
      <c r="Q4" s="48" t="s">
        <v>50</v>
      </c>
      <c r="R4" s="7" t="s">
        <v>51</v>
      </c>
      <c r="S4" s="7"/>
      <c r="T4" s="7"/>
      <c r="U4" s="7"/>
      <c r="V4" s="7"/>
      <c r="W4" s="7"/>
      <c r="X4" s="7"/>
      <c r="Y4" s="7"/>
    </row>
    <row r="5" spans="1:25">
      <c r="A5" s="8" t="s">
        <v>1095</v>
      </c>
      <c r="B5" s="46">
        <v>3.2638888888888891E-3</v>
      </c>
      <c r="C5" s="46">
        <v>2.2222222222222222E-3</v>
      </c>
      <c r="D5" s="46">
        <v>2.9629629629629628E-3</v>
      </c>
      <c r="E5" s="46">
        <v>2.7083333333333334E-3</v>
      </c>
      <c r="F5" s="46">
        <v>2.5578703703703705E-3</v>
      </c>
      <c r="G5" s="46">
        <v>2.7430555555555554E-3</v>
      </c>
      <c r="H5" s="7"/>
      <c r="I5" s="7"/>
      <c r="J5" s="7"/>
      <c r="K5" s="7"/>
      <c r="L5" s="7"/>
      <c r="M5" s="7"/>
      <c r="N5" s="7"/>
      <c r="O5" s="7"/>
      <c r="P5" s="7"/>
      <c r="Q5" s="49" t="s">
        <v>53</v>
      </c>
      <c r="R5" s="7" t="s">
        <v>54</v>
      </c>
      <c r="S5" s="7"/>
      <c r="T5" s="7"/>
      <c r="U5" s="7"/>
      <c r="V5" s="7"/>
      <c r="W5" s="7"/>
      <c r="X5" s="7"/>
      <c r="Y5" s="7"/>
    </row>
    <row r="6" spans="1:25">
      <c r="A6" s="8" t="s">
        <v>1096</v>
      </c>
      <c r="B6" s="51" t="s">
        <v>1097</v>
      </c>
      <c r="C6" s="51" t="s">
        <v>1098</v>
      </c>
      <c r="D6" s="124">
        <v>45720</v>
      </c>
      <c r="E6" s="51">
        <v>4.3899999999999997</v>
      </c>
      <c r="F6" s="51" t="s">
        <v>1099</v>
      </c>
      <c r="G6" s="51" t="s">
        <v>1099</v>
      </c>
      <c r="H6" s="7"/>
      <c r="I6" s="7"/>
      <c r="J6" s="7"/>
      <c r="K6" s="7"/>
      <c r="L6" s="7"/>
      <c r="M6" s="7"/>
      <c r="N6" s="7"/>
      <c r="O6" s="7"/>
      <c r="P6" s="7"/>
      <c r="Q6" s="52" t="s">
        <v>56</v>
      </c>
      <c r="R6" s="7" t="s">
        <v>57</v>
      </c>
      <c r="S6" s="7"/>
      <c r="T6" s="7"/>
      <c r="U6" s="7"/>
      <c r="V6" s="7"/>
      <c r="W6" s="7"/>
      <c r="X6" s="7"/>
      <c r="Y6" s="7"/>
    </row>
    <row r="7" spans="1:25">
      <c r="A7" s="8" t="s">
        <v>1100</v>
      </c>
      <c r="B7" s="53">
        <v>0.98</v>
      </c>
      <c r="C7" s="53">
        <v>0.99</v>
      </c>
      <c r="D7" s="53">
        <v>0.97</v>
      </c>
      <c r="E7" s="53">
        <v>0.95</v>
      </c>
      <c r="F7" s="53">
        <v>0.95</v>
      </c>
      <c r="G7" s="53">
        <v>0.97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8" t="s">
        <v>1101</v>
      </c>
      <c r="B8" s="54">
        <v>739</v>
      </c>
      <c r="C8" s="54">
        <v>732</v>
      </c>
      <c r="D8" s="54">
        <v>641</v>
      </c>
      <c r="E8" s="54">
        <v>583</v>
      </c>
      <c r="F8" s="55" t="s">
        <v>1102</v>
      </c>
      <c r="G8" s="55" t="s">
        <v>1103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8" t="s">
        <v>1104</v>
      </c>
      <c r="B9" s="53">
        <v>0.99</v>
      </c>
      <c r="C9" s="53">
        <v>0.95</v>
      </c>
      <c r="D9" s="53">
        <v>0.96</v>
      </c>
      <c r="E9" s="53">
        <v>0.94</v>
      </c>
      <c r="F9" s="53">
        <v>0.97</v>
      </c>
      <c r="G9" s="53">
        <v>0.96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1105</v>
      </c>
      <c r="B10" s="54">
        <v>698</v>
      </c>
      <c r="C10" s="54">
        <v>825</v>
      </c>
      <c r="D10" s="54">
        <v>690</v>
      </c>
      <c r="E10" s="54">
        <v>510</v>
      </c>
      <c r="F10" s="55" t="s">
        <v>1106</v>
      </c>
      <c r="G10" s="55" t="s">
        <v>1107</v>
      </c>
      <c r="H10" s="7"/>
      <c r="I10" s="7"/>
      <c r="J10" s="7"/>
      <c r="K10" s="7"/>
      <c r="L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1108</v>
      </c>
      <c r="B11" s="55" t="s">
        <v>1109</v>
      </c>
      <c r="C11" s="55" t="s">
        <v>1110</v>
      </c>
      <c r="D11" s="55" t="s">
        <v>1109</v>
      </c>
      <c r="E11" s="55" t="s">
        <v>1111</v>
      </c>
      <c r="F11" s="55" t="s">
        <v>1112</v>
      </c>
      <c r="G11" s="55" t="s">
        <v>1113</v>
      </c>
      <c r="H11" s="7"/>
      <c r="I11" s="7"/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5">
      <c r="A12" s="8" t="s">
        <v>1114</v>
      </c>
      <c r="B12" s="55" t="s">
        <v>1115</v>
      </c>
      <c r="C12" s="55" t="s">
        <v>1116</v>
      </c>
      <c r="D12" s="55" t="s">
        <v>1117</v>
      </c>
      <c r="E12" s="55" t="s">
        <v>1118</v>
      </c>
      <c r="F12" s="55" t="s">
        <v>1119</v>
      </c>
      <c r="G12" s="55" t="s">
        <v>1120</v>
      </c>
      <c r="H12" s="7"/>
      <c r="I12" s="7"/>
      <c r="J12" s="7"/>
      <c r="K12" s="7"/>
      <c r="L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5">
      <c r="A13" s="8" t="s">
        <v>1121</v>
      </c>
      <c r="B13" s="55" t="s">
        <v>1122</v>
      </c>
      <c r="C13" s="55" t="s">
        <v>1123</v>
      </c>
      <c r="D13" s="55" t="s">
        <v>1124</v>
      </c>
      <c r="E13" s="55" t="s">
        <v>1125</v>
      </c>
      <c r="F13" s="54">
        <v>11</v>
      </c>
      <c r="G13" s="54">
        <v>220</v>
      </c>
      <c r="H13" s="7"/>
      <c r="I13" s="7"/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5">
      <c r="A14" s="8" t="s">
        <v>1126</v>
      </c>
      <c r="B14" s="55" t="s">
        <v>1127</v>
      </c>
      <c r="C14" s="55" t="s">
        <v>1128</v>
      </c>
      <c r="D14" s="55" t="s">
        <v>1129</v>
      </c>
      <c r="E14" s="53">
        <v>0.96</v>
      </c>
      <c r="F14" s="53">
        <v>0.94</v>
      </c>
      <c r="G14" s="53">
        <v>0.95</v>
      </c>
      <c r="H14" s="7"/>
      <c r="I14" s="7"/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>
      <c r="A15" s="8" t="s">
        <v>74</v>
      </c>
      <c r="B15" s="56">
        <v>3.0200000000000001E-2</v>
      </c>
      <c r="C15" s="56">
        <v>4.1599999999999998E-2</v>
      </c>
      <c r="D15" s="56">
        <v>2.69E-2</v>
      </c>
      <c r="E15" s="144" t="s">
        <v>1130</v>
      </c>
      <c r="F15" s="51" t="s">
        <v>1131</v>
      </c>
      <c r="G15" s="145">
        <v>3.2899999999999999E-2</v>
      </c>
      <c r="H15" s="7"/>
      <c r="I15" s="7"/>
      <c r="J15" s="7"/>
      <c r="K15" s="7"/>
      <c r="L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8" t="s">
        <v>1132</v>
      </c>
      <c r="B16" s="55" t="s">
        <v>1133</v>
      </c>
      <c r="C16" s="55" t="s">
        <v>1134</v>
      </c>
      <c r="D16" s="55" t="s">
        <v>1135</v>
      </c>
      <c r="E16" s="55" t="s">
        <v>1136</v>
      </c>
      <c r="F16" s="55" t="s">
        <v>1137</v>
      </c>
      <c r="G16" s="55" t="s">
        <v>1137</v>
      </c>
      <c r="H16" s="7"/>
      <c r="I16" s="7"/>
      <c r="J16" s="7"/>
      <c r="K16" s="7"/>
      <c r="L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31" ht="12.75"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31" ht="12.75"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31" ht="12.75"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2.75"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31" ht="26.25">
      <c r="A21" s="4" t="s">
        <v>1647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31">
      <c r="A22" s="16" t="s">
        <v>77</v>
      </c>
      <c r="B22" s="101" t="s">
        <v>1138</v>
      </c>
      <c r="C22" s="101" t="s">
        <v>1139</v>
      </c>
      <c r="D22" s="81" t="s">
        <v>32</v>
      </c>
      <c r="E22" s="81" t="s">
        <v>33</v>
      </c>
      <c r="F22" s="81" t="s">
        <v>34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31" ht="12.75">
      <c r="A23" s="20" t="s">
        <v>30</v>
      </c>
      <c r="B23" s="80">
        <v>4</v>
      </c>
      <c r="C23" s="80">
        <v>0</v>
      </c>
      <c r="D23" s="81">
        <v>3</v>
      </c>
      <c r="E23" s="80">
        <v>82</v>
      </c>
      <c r="F23" s="81">
        <v>15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31" ht="15" customHeight="1">
      <c r="A24" s="31" t="s">
        <v>28</v>
      </c>
      <c r="B24" s="81">
        <v>9</v>
      </c>
      <c r="C24" s="81">
        <v>0</v>
      </c>
      <c r="D24" s="81">
        <v>1</v>
      </c>
      <c r="E24" s="80">
        <v>85</v>
      </c>
      <c r="F24" s="81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31" ht="15" customHeight="1">
      <c r="A25" s="20" t="s">
        <v>22</v>
      </c>
      <c r="B25" s="104">
        <v>0</v>
      </c>
      <c r="C25" s="104">
        <v>175</v>
      </c>
      <c r="D25" s="12">
        <v>105</v>
      </c>
      <c r="E25" s="12">
        <v>40</v>
      </c>
      <c r="F25" s="12">
        <v>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31" ht="12.75">
      <c r="A26" s="20" t="s">
        <v>25</v>
      </c>
      <c r="B26" s="12">
        <v>11</v>
      </c>
      <c r="C26" s="12">
        <v>0</v>
      </c>
      <c r="D26" s="21">
        <v>14</v>
      </c>
      <c r="E26" s="12">
        <v>0</v>
      </c>
      <c r="F26" s="21">
        <v>0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31" ht="12.75">
      <c r="A27" s="20" t="s">
        <v>18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31" ht="12.75">
      <c r="A28" s="20" t="s">
        <v>12</v>
      </c>
      <c r="B28" s="12">
        <v>11</v>
      </c>
      <c r="C28" s="12">
        <v>0</v>
      </c>
      <c r="D28" s="21">
        <v>17</v>
      </c>
      <c r="E28" s="12">
        <v>93</v>
      </c>
      <c r="F28" s="21">
        <v>10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31" ht="12.75">
      <c r="A29" s="30" t="s">
        <v>19</v>
      </c>
      <c r="B29" s="12">
        <v>1</v>
      </c>
      <c r="C29" s="12">
        <v>0</v>
      </c>
      <c r="D29" s="25">
        <v>0</v>
      </c>
      <c r="E29" s="12">
        <v>46</v>
      </c>
      <c r="F29" s="21">
        <v>9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31">
      <c r="A30" s="16" t="s">
        <v>80</v>
      </c>
      <c r="B30" s="17" t="s">
        <v>1140</v>
      </c>
      <c r="C30" s="17" t="s">
        <v>1141</v>
      </c>
      <c r="D30" s="81" t="s">
        <v>32</v>
      </c>
      <c r="E30" s="18" t="s">
        <v>1142</v>
      </c>
      <c r="F30" s="240" t="s">
        <v>1143</v>
      </c>
      <c r="G30" s="261"/>
      <c r="H30" s="17" t="s">
        <v>505</v>
      </c>
      <c r="I30" s="17" t="s">
        <v>31</v>
      </c>
      <c r="J30" s="18" t="s">
        <v>1144</v>
      </c>
      <c r="K30" s="81" t="s">
        <v>35</v>
      </c>
      <c r="M30" s="135"/>
      <c r="N30" s="135"/>
      <c r="O30" s="135"/>
      <c r="P30" s="135"/>
      <c r="Q30" s="135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31" ht="15">
      <c r="A31" s="31" t="s">
        <v>21</v>
      </c>
      <c r="B31" s="21">
        <v>161</v>
      </c>
      <c r="C31" s="21">
        <v>62</v>
      </c>
      <c r="D31" s="87">
        <v>46</v>
      </c>
      <c r="E31" s="58">
        <v>6.57</v>
      </c>
      <c r="F31" s="21">
        <v>90</v>
      </c>
      <c r="G31" s="146">
        <v>10</v>
      </c>
      <c r="H31" s="88">
        <v>204</v>
      </c>
      <c r="I31" s="107">
        <v>45842</v>
      </c>
      <c r="J31" s="60">
        <v>6.0046296296296299E-2</v>
      </c>
      <c r="K31" s="113">
        <v>2.3148148148148147E-3</v>
      </c>
      <c r="M31" s="147"/>
      <c r="N31" s="147"/>
      <c r="O31" s="147"/>
      <c r="P31" s="147"/>
      <c r="Q31" s="14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31" ht="12.75">
      <c r="A32" s="31" t="s">
        <v>24</v>
      </c>
      <c r="B32" s="90">
        <v>39</v>
      </c>
      <c r="C32" s="29">
        <v>21</v>
      </c>
      <c r="D32" s="21">
        <v>20</v>
      </c>
      <c r="E32" s="57">
        <v>2.86</v>
      </c>
      <c r="F32" s="21">
        <v>70</v>
      </c>
      <c r="G32" s="146">
        <v>24</v>
      </c>
      <c r="H32" s="148">
        <v>215</v>
      </c>
      <c r="I32" s="149">
        <v>45811</v>
      </c>
      <c r="J32" s="60">
        <v>8.385416666666666E-2</v>
      </c>
      <c r="K32" s="113">
        <v>1.0069444444444444E-3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1" ht="12.75">
      <c r="A33" s="31" t="s">
        <v>41</v>
      </c>
      <c r="B33" s="90">
        <v>28</v>
      </c>
      <c r="C33" s="90">
        <v>11</v>
      </c>
      <c r="D33" s="25">
        <v>12</v>
      </c>
      <c r="E33" s="58">
        <v>1.71</v>
      </c>
      <c r="F33" s="87">
        <v>9</v>
      </c>
      <c r="G33" s="58">
        <v>4</v>
      </c>
      <c r="H33" s="148">
        <v>225</v>
      </c>
      <c r="I33" s="107">
        <v>45692</v>
      </c>
      <c r="J33" s="9">
        <v>2.0995370370370369E-2</v>
      </c>
      <c r="K33" s="109">
        <v>4.1666666666666669E-4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1" ht="12.75">
      <c r="A34" s="31" t="s">
        <v>135</v>
      </c>
      <c r="B34" s="90">
        <v>32</v>
      </c>
      <c r="C34" s="90">
        <v>17</v>
      </c>
      <c r="D34" s="87">
        <v>29</v>
      </c>
      <c r="E34" s="57">
        <v>4.1399999999999997</v>
      </c>
      <c r="F34" s="87">
        <v>44</v>
      </c>
      <c r="G34" s="57">
        <v>7</v>
      </c>
      <c r="H34" s="148">
        <v>207</v>
      </c>
      <c r="I34" s="107">
        <v>45692</v>
      </c>
      <c r="J34" s="9">
        <v>3.2766203703703707E-2</v>
      </c>
      <c r="K34" s="113">
        <v>2.3032407407407407E-3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1" ht="12.75">
      <c r="A35" s="31" t="s">
        <v>796</v>
      </c>
      <c r="B35" s="29">
        <v>75</v>
      </c>
      <c r="C35" s="29">
        <v>24</v>
      </c>
      <c r="D35" s="88">
        <v>33</v>
      </c>
      <c r="E35" s="58">
        <v>4.71</v>
      </c>
      <c r="F35" s="127" t="s">
        <v>1145</v>
      </c>
      <c r="G35" s="127" t="s">
        <v>1145</v>
      </c>
      <c r="H35" s="104">
        <v>416</v>
      </c>
      <c r="I35" s="107">
        <v>45720</v>
      </c>
      <c r="J35" s="60">
        <v>7.4999999999999997E-2</v>
      </c>
      <c r="K35" s="150" t="s">
        <v>1146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2.75">
      <c r="A36" s="31" t="s">
        <v>209</v>
      </c>
      <c r="B36" s="103">
        <v>95</v>
      </c>
      <c r="C36" s="103">
        <v>49</v>
      </c>
      <c r="D36" s="87">
        <v>58</v>
      </c>
      <c r="E36" s="57">
        <v>8.2899999999999991</v>
      </c>
      <c r="F36" s="21">
        <v>136</v>
      </c>
      <c r="G36" s="146">
        <v>28</v>
      </c>
      <c r="H36" s="110">
        <v>443</v>
      </c>
      <c r="I36" s="107">
        <v>45781</v>
      </c>
      <c r="J36" s="9">
        <v>3.1782407407407405E-2</v>
      </c>
      <c r="K36" s="109">
        <v>5.3240740740740744E-4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75">
      <c r="A37" s="31" t="s">
        <v>86</v>
      </c>
      <c r="B37" s="90">
        <v>26</v>
      </c>
      <c r="C37" s="29">
        <v>20</v>
      </c>
      <c r="D37" s="26">
        <v>26</v>
      </c>
      <c r="E37" s="58">
        <v>3.71</v>
      </c>
      <c r="F37" s="127" t="s">
        <v>1145</v>
      </c>
      <c r="G37" s="127" t="s">
        <v>1145</v>
      </c>
      <c r="H37" s="104">
        <v>226</v>
      </c>
      <c r="I37" s="107">
        <v>45873</v>
      </c>
      <c r="J37" s="60">
        <v>4.4282407407407409E-2</v>
      </c>
      <c r="K37" s="113">
        <v>9.837962962962962E-4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75">
      <c r="A38" s="31" t="s">
        <v>87</v>
      </c>
      <c r="B38" s="151">
        <v>42</v>
      </c>
      <c r="C38" s="103">
        <v>19</v>
      </c>
      <c r="D38" s="151">
        <v>39</v>
      </c>
      <c r="E38" s="57">
        <v>5.57</v>
      </c>
      <c r="F38" s="21">
        <v>61</v>
      </c>
      <c r="G38" s="146">
        <v>14</v>
      </c>
      <c r="H38" s="110">
        <v>376</v>
      </c>
      <c r="I38" s="107">
        <v>45751</v>
      </c>
      <c r="J38" s="9">
        <v>2.5555555555555557E-2</v>
      </c>
      <c r="K38" s="109">
        <v>7.7546296296296293E-4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75">
      <c r="A39" s="31" t="s">
        <v>23</v>
      </c>
      <c r="B39" s="29">
        <v>72</v>
      </c>
      <c r="C39" s="90">
        <v>2</v>
      </c>
      <c r="D39" s="29">
        <v>5</v>
      </c>
      <c r="E39" s="58">
        <v>0.71</v>
      </c>
      <c r="F39" s="87">
        <v>0</v>
      </c>
      <c r="G39" s="58">
        <v>0</v>
      </c>
      <c r="H39" s="148">
        <v>116</v>
      </c>
      <c r="I39" s="82">
        <v>45873</v>
      </c>
      <c r="J39" s="9">
        <v>1.7013888888888887E-2</v>
      </c>
      <c r="K39" s="109">
        <v>1.0416666666666667E-4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>
      <c r="A40" s="31" t="s">
        <v>39</v>
      </c>
      <c r="B40" s="90">
        <v>59</v>
      </c>
      <c r="C40" s="29">
        <v>19</v>
      </c>
      <c r="D40" s="90">
        <v>62</v>
      </c>
      <c r="E40" s="57">
        <v>8.86</v>
      </c>
      <c r="F40" s="21">
        <v>73</v>
      </c>
      <c r="G40" s="57">
        <v>7</v>
      </c>
      <c r="H40" s="104">
        <v>513</v>
      </c>
      <c r="I40" s="107">
        <v>45781</v>
      </c>
      <c r="J40" s="9">
        <v>2.0821759259259259E-2</v>
      </c>
      <c r="K40" s="113">
        <v>1.0185185185185184E-3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>
      <c r="A41" s="31" t="s">
        <v>512</v>
      </c>
      <c r="B41" s="90">
        <v>10</v>
      </c>
      <c r="C41" s="90">
        <v>0</v>
      </c>
      <c r="D41" s="29">
        <v>18</v>
      </c>
      <c r="E41" s="58">
        <v>2.57</v>
      </c>
      <c r="F41" s="87">
        <v>3</v>
      </c>
      <c r="G41" s="58">
        <v>1</v>
      </c>
      <c r="H41" s="104">
        <v>234</v>
      </c>
      <c r="I41" s="107">
        <v>45661</v>
      </c>
      <c r="J41" s="9">
        <v>1.7812499999999998E-2</v>
      </c>
      <c r="K41" s="113">
        <v>1.2037037037037038E-3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>
      <c r="A42" s="31" t="s">
        <v>40</v>
      </c>
      <c r="B42" s="90">
        <v>30</v>
      </c>
      <c r="C42" s="29">
        <v>21</v>
      </c>
      <c r="D42" s="29">
        <v>19</v>
      </c>
      <c r="E42" s="57">
        <v>2.71</v>
      </c>
      <c r="F42" s="87">
        <v>32</v>
      </c>
      <c r="G42" s="57">
        <v>2</v>
      </c>
      <c r="H42" s="104">
        <v>236</v>
      </c>
      <c r="I42" s="107">
        <v>45720</v>
      </c>
      <c r="J42" s="9">
        <v>2.3668981481481482E-2</v>
      </c>
      <c r="K42" s="109">
        <v>7.5231481481481482E-4</v>
      </c>
      <c r="R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>
      <c r="A43" s="31" t="s">
        <v>93</v>
      </c>
      <c r="B43" s="90">
        <v>12</v>
      </c>
      <c r="C43" s="90">
        <v>11</v>
      </c>
      <c r="D43" s="29">
        <v>19</v>
      </c>
      <c r="E43" s="58">
        <v>2.71</v>
      </c>
      <c r="F43" s="87">
        <v>23</v>
      </c>
      <c r="G43" s="146">
        <v>14</v>
      </c>
      <c r="H43" s="148">
        <v>220</v>
      </c>
      <c r="I43" s="107">
        <v>45781</v>
      </c>
      <c r="J43" s="60">
        <v>6.5104166666666671E-2</v>
      </c>
      <c r="K43" s="113">
        <v>2.7546296296296294E-3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75">
      <c r="A44" s="31" t="s">
        <v>515</v>
      </c>
      <c r="B44" s="29">
        <v>74</v>
      </c>
      <c r="C44" s="90">
        <v>0</v>
      </c>
      <c r="D44" s="29">
        <v>0</v>
      </c>
      <c r="E44" s="57">
        <v>0</v>
      </c>
      <c r="F44" s="21">
        <v>0</v>
      </c>
      <c r="G44" s="57">
        <v>0</v>
      </c>
      <c r="H44" s="148">
        <v>27</v>
      </c>
      <c r="I44" s="29" t="s">
        <v>1147</v>
      </c>
      <c r="J44" s="9">
        <v>1.1643518518518518E-2</v>
      </c>
      <c r="K44" s="109">
        <v>8.3333333333333339E-4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>
      <c r="A45" s="31" t="s">
        <v>814</v>
      </c>
      <c r="B45" s="90">
        <v>65</v>
      </c>
      <c r="C45" s="90">
        <v>18</v>
      </c>
      <c r="D45" s="29">
        <v>21</v>
      </c>
      <c r="E45" s="58">
        <v>3</v>
      </c>
      <c r="F45" s="127" t="s">
        <v>1145</v>
      </c>
      <c r="G45" s="127" t="s">
        <v>1145</v>
      </c>
      <c r="H45" s="104">
        <v>300</v>
      </c>
      <c r="I45" s="82">
        <v>45812</v>
      </c>
      <c r="J45" s="9">
        <v>3.1574074074074074E-2</v>
      </c>
      <c r="K45" s="113">
        <v>1.712962962962963E-3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>
      <c r="A46" s="31" t="s">
        <v>20</v>
      </c>
      <c r="B46" s="90">
        <v>47</v>
      </c>
      <c r="C46" s="29">
        <v>22</v>
      </c>
      <c r="D46" s="90">
        <v>46</v>
      </c>
      <c r="E46" s="57">
        <v>6.57</v>
      </c>
      <c r="F46" s="21">
        <v>133</v>
      </c>
      <c r="G46" s="146">
        <v>33</v>
      </c>
      <c r="H46" s="104">
        <v>332</v>
      </c>
      <c r="I46" s="82">
        <v>45751</v>
      </c>
      <c r="J46" s="60">
        <v>5.5046296296296295E-2</v>
      </c>
      <c r="K46" s="113">
        <v>2.0138888888888888E-3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>
      <c r="A47" s="31" t="s">
        <v>27</v>
      </c>
      <c r="B47" s="90">
        <v>47</v>
      </c>
      <c r="C47" s="29">
        <v>28</v>
      </c>
      <c r="D47" s="29">
        <v>25</v>
      </c>
      <c r="E47" s="58">
        <v>3.57</v>
      </c>
      <c r="F47" s="152" t="s">
        <v>1148</v>
      </c>
      <c r="G47" s="146">
        <v>24</v>
      </c>
      <c r="H47" s="104">
        <v>293</v>
      </c>
      <c r="I47" s="107">
        <v>45781</v>
      </c>
      <c r="J47" s="153">
        <v>2.8113425925925927E-2</v>
      </c>
      <c r="K47" s="154" t="s">
        <v>1149</v>
      </c>
      <c r="Q47" s="99"/>
    </row>
    <row r="48" spans="1:31" ht="12.75">
      <c r="A48" s="31" t="s">
        <v>38</v>
      </c>
      <c r="B48" s="90">
        <v>54</v>
      </c>
      <c r="C48" s="90">
        <v>18</v>
      </c>
      <c r="D48" s="29">
        <v>24</v>
      </c>
      <c r="E48" s="57">
        <v>3.43</v>
      </c>
      <c r="F48" s="21">
        <v>97</v>
      </c>
      <c r="G48" s="146">
        <v>18</v>
      </c>
      <c r="H48" s="104">
        <v>298</v>
      </c>
      <c r="I48" s="82">
        <v>45751</v>
      </c>
      <c r="J48" s="9">
        <v>1.7222222222222222E-2</v>
      </c>
      <c r="K48" s="109">
        <v>7.5231481481481482E-4</v>
      </c>
      <c r="O48" s="6"/>
      <c r="P48" s="6"/>
      <c r="Q48" s="6"/>
    </row>
    <row r="49" spans="1:31" ht="12.75">
      <c r="A49" s="31" t="s">
        <v>519</v>
      </c>
      <c r="B49" s="90">
        <v>4</v>
      </c>
      <c r="C49" s="90">
        <v>3</v>
      </c>
      <c r="D49" s="90">
        <v>30</v>
      </c>
      <c r="E49" s="58">
        <v>4.29</v>
      </c>
      <c r="F49" s="21">
        <v>102</v>
      </c>
      <c r="G49" s="146">
        <v>40</v>
      </c>
      <c r="H49" s="104">
        <v>390</v>
      </c>
      <c r="I49" s="82">
        <v>45692</v>
      </c>
      <c r="J49" s="60">
        <v>6.5150462962962966E-2</v>
      </c>
      <c r="K49" s="113">
        <v>2.3958333333333331E-3</v>
      </c>
      <c r="O49" s="39"/>
      <c r="P49" s="39"/>
      <c r="Q49" s="39"/>
    </row>
    <row r="50" spans="1:31" ht="12.75">
      <c r="A50" s="31" t="s">
        <v>522</v>
      </c>
      <c r="B50" s="90">
        <v>29</v>
      </c>
      <c r="C50" s="29">
        <v>31</v>
      </c>
      <c r="D50" s="29">
        <v>26</v>
      </c>
      <c r="E50" s="57">
        <v>3.71</v>
      </c>
      <c r="F50" s="87">
        <v>36</v>
      </c>
      <c r="G50" s="146">
        <v>12</v>
      </c>
      <c r="H50" s="148">
        <v>193</v>
      </c>
      <c r="I50" s="107">
        <v>45751</v>
      </c>
      <c r="J50" s="9">
        <v>2.9826388888888888E-2</v>
      </c>
      <c r="K50" s="113">
        <v>1.8402777777777777E-3</v>
      </c>
      <c r="O50" s="6"/>
      <c r="P50" s="6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2.75">
      <c r="A51" s="31" t="s">
        <v>42</v>
      </c>
      <c r="B51" s="115" t="s">
        <v>1150</v>
      </c>
      <c r="C51" s="155" t="s">
        <v>1151</v>
      </c>
      <c r="D51" s="155" t="s">
        <v>1152</v>
      </c>
      <c r="E51" s="125">
        <v>7.14</v>
      </c>
      <c r="F51" s="21">
        <v>103</v>
      </c>
      <c r="G51" s="146">
        <v>32</v>
      </c>
      <c r="H51" s="116" t="s">
        <v>1153</v>
      </c>
      <c r="I51" s="107">
        <v>45781</v>
      </c>
      <c r="J51" s="9">
        <v>2.6030092592592594E-2</v>
      </c>
      <c r="K51" s="109">
        <v>5.5555555555555556E-4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">
      <c r="A52" s="156" t="s">
        <v>15</v>
      </c>
      <c r="B52" s="157">
        <v>1001</v>
      </c>
      <c r="C52" s="157">
        <v>396</v>
      </c>
      <c r="D52" s="157">
        <v>698</v>
      </c>
      <c r="F52" s="157">
        <v>1012</v>
      </c>
      <c r="G52" s="158">
        <v>270</v>
      </c>
      <c r="H52" s="159" t="s">
        <v>1154</v>
      </c>
      <c r="I52" s="158" t="s">
        <v>1097</v>
      </c>
      <c r="J52" s="160">
        <v>3.7303240740740741E-2</v>
      </c>
      <c r="K52" s="160">
        <v>1.2731481481481483E-3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">
      <c r="A53" s="156" t="s">
        <v>1155</v>
      </c>
      <c r="B53" s="161">
        <v>1500</v>
      </c>
      <c r="C53" s="162">
        <v>400</v>
      </c>
      <c r="D53" s="162">
        <v>600</v>
      </c>
      <c r="E53" s="163"/>
      <c r="F53" s="164">
        <v>1300</v>
      </c>
      <c r="G53" s="165">
        <v>200</v>
      </c>
      <c r="H53" s="164">
        <v>4750</v>
      </c>
      <c r="I53" s="166">
        <v>45781</v>
      </c>
      <c r="J53" s="167">
        <v>3.471064814814815E-2</v>
      </c>
      <c r="K53" s="167">
        <v>9.2592592592592596E-4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">
      <c r="A54" s="135"/>
      <c r="B54" s="136"/>
      <c r="C54" s="138"/>
      <c r="D54" s="138"/>
      <c r="E54" s="13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">
      <c r="A55" s="137"/>
      <c r="B55" s="136"/>
      <c r="C55" s="137"/>
      <c r="D55" s="138"/>
      <c r="E55" s="13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26.25">
      <c r="A56" s="4" t="s">
        <v>1648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>
      <c r="A57" s="16" t="s">
        <v>77</v>
      </c>
      <c r="B57" s="101" t="s">
        <v>1138</v>
      </c>
      <c r="C57" s="101" t="s">
        <v>1139</v>
      </c>
      <c r="D57" s="81" t="s">
        <v>32</v>
      </c>
      <c r="E57" s="81" t="s">
        <v>33</v>
      </c>
      <c r="F57" s="81" t="s">
        <v>34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2.75">
      <c r="A58" s="20" t="s">
        <v>30</v>
      </c>
      <c r="B58" s="80">
        <v>7</v>
      </c>
      <c r="C58" s="80">
        <v>0</v>
      </c>
      <c r="D58" s="81">
        <v>20</v>
      </c>
      <c r="E58" s="80">
        <v>9</v>
      </c>
      <c r="F58" s="81">
        <v>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75">
      <c r="A59" s="31" t="s">
        <v>28</v>
      </c>
      <c r="B59" s="81">
        <v>11</v>
      </c>
      <c r="C59" s="81">
        <v>0</v>
      </c>
      <c r="D59" s="81">
        <v>4</v>
      </c>
      <c r="E59" s="80">
        <v>98</v>
      </c>
      <c r="F59" s="81">
        <v>3</v>
      </c>
      <c r="G59" s="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>
      <c r="A60" s="20" t="s">
        <v>22</v>
      </c>
      <c r="B60" s="81">
        <v>0</v>
      </c>
      <c r="C60" s="81">
        <v>208</v>
      </c>
      <c r="D60" s="81">
        <v>142</v>
      </c>
      <c r="E60" s="80">
        <v>79</v>
      </c>
      <c r="F60" s="81">
        <v>9</v>
      </c>
      <c r="G60" s="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75">
      <c r="A61" s="20" t="s">
        <v>25</v>
      </c>
      <c r="B61" s="81">
        <v>10</v>
      </c>
      <c r="C61" s="81">
        <v>0</v>
      </c>
      <c r="D61" s="81">
        <v>3</v>
      </c>
      <c r="E61" s="80">
        <v>0</v>
      </c>
      <c r="F61" s="81">
        <v>0</v>
      </c>
      <c r="G61" s="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75">
      <c r="A62" s="20" t="s">
        <v>18</v>
      </c>
      <c r="B62" s="81">
        <v>0</v>
      </c>
      <c r="C62" s="81">
        <v>0</v>
      </c>
      <c r="D62" s="81">
        <v>0</v>
      </c>
      <c r="E62" s="80">
        <v>0</v>
      </c>
      <c r="F62" s="81">
        <v>0</v>
      </c>
      <c r="G62" s="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2.75">
      <c r="A63" s="20" t="s">
        <v>12</v>
      </c>
      <c r="B63" s="81">
        <v>23</v>
      </c>
      <c r="C63" s="81">
        <v>0</v>
      </c>
      <c r="D63" s="81">
        <v>7</v>
      </c>
      <c r="E63" s="80">
        <v>96</v>
      </c>
      <c r="F63" s="81">
        <v>3</v>
      </c>
      <c r="G63" s="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16" t="s">
        <v>80</v>
      </c>
      <c r="B64" s="17" t="s">
        <v>1140</v>
      </c>
      <c r="C64" s="17" t="s">
        <v>1141</v>
      </c>
      <c r="D64" s="81" t="s">
        <v>32</v>
      </c>
      <c r="E64" s="18" t="s">
        <v>1142</v>
      </c>
      <c r="F64" s="240" t="s">
        <v>1143</v>
      </c>
      <c r="G64" s="253"/>
      <c r="H64" s="17" t="s">
        <v>505</v>
      </c>
      <c r="I64" s="17" t="s">
        <v>31</v>
      </c>
      <c r="J64" s="18" t="s">
        <v>1144</v>
      </c>
      <c r="K64" s="81" t="s">
        <v>35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>
      <c r="A65" s="31" t="s">
        <v>21</v>
      </c>
      <c r="B65" s="21">
        <v>125</v>
      </c>
      <c r="C65" s="21">
        <v>148</v>
      </c>
      <c r="D65" s="21">
        <v>41</v>
      </c>
      <c r="E65" s="168">
        <v>5.86</v>
      </c>
      <c r="F65" s="21">
        <v>137</v>
      </c>
      <c r="G65" s="146">
        <v>16</v>
      </c>
      <c r="H65" s="12">
        <v>285</v>
      </c>
      <c r="I65" s="29">
        <v>4</v>
      </c>
      <c r="J65" s="60">
        <v>0.12408564814814815</v>
      </c>
      <c r="K65" s="113">
        <v>5.2199074074074075E-3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75">
      <c r="A66" s="31" t="s">
        <v>24</v>
      </c>
      <c r="B66" s="90">
        <v>62</v>
      </c>
      <c r="C66" s="29">
        <v>28</v>
      </c>
      <c r="D66" s="21">
        <v>35</v>
      </c>
      <c r="E66" s="168">
        <v>5</v>
      </c>
      <c r="F66" s="21">
        <v>151</v>
      </c>
      <c r="G66" s="146">
        <v>25</v>
      </c>
      <c r="H66" s="104">
        <v>287</v>
      </c>
      <c r="I66" s="107">
        <v>45904</v>
      </c>
      <c r="J66" s="60">
        <v>7.7662037037037043E-2</v>
      </c>
      <c r="K66" s="113">
        <v>1.4930555555555556E-3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>
      <c r="A67" s="31" t="s">
        <v>41</v>
      </c>
      <c r="B67" s="90">
        <v>59</v>
      </c>
      <c r="C67" s="29">
        <v>54</v>
      </c>
      <c r="D67" s="12">
        <v>32</v>
      </c>
      <c r="E67" s="168">
        <v>4.57</v>
      </c>
      <c r="F67" s="87">
        <v>12</v>
      </c>
      <c r="G67" s="57">
        <v>0</v>
      </c>
      <c r="H67" s="104">
        <v>302</v>
      </c>
      <c r="I67" s="107">
        <v>45751</v>
      </c>
      <c r="J67" s="60">
        <v>6.070601851851852E-2</v>
      </c>
      <c r="K67" s="109">
        <v>1.1574074074074073E-3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>
      <c r="A68" s="31" t="s">
        <v>135</v>
      </c>
      <c r="B68" s="90">
        <v>51</v>
      </c>
      <c r="C68" s="90">
        <v>26</v>
      </c>
      <c r="D68" s="21">
        <v>36</v>
      </c>
      <c r="E68" s="168">
        <v>5.14</v>
      </c>
      <c r="F68" s="87">
        <v>39</v>
      </c>
      <c r="G68" s="57">
        <v>4</v>
      </c>
      <c r="H68" s="104">
        <v>249</v>
      </c>
      <c r="I68" s="107">
        <v>45692</v>
      </c>
      <c r="J68" s="60">
        <v>4.6550925925925926E-2</v>
      </c>
      <c r="K68" s="113">
        <v>3.6226851851851854E-3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>
      <c r="A69" s="31" t="s">
        <v>796</v>
      </c>
      <c r="B69" s="29">
        <v>167</v>
      </c>
      <c r="C69" s="90">
        <v>9</v>
      </c>
      <c r="D69" s="12">
        <v>31</v>
      </c>
      <c r="E69" s="168">
        <v>4.43</v>
      </c>
      <c r="F69" s="127" t="s">
        <v>1145</v>
      </c>
      <c r="G69" s="127" t="s">
        <v>1145</v>
      </c>
      <c r="H69" s="29">
        <v>390</v>
      </c>
      <c r="I69" s="29">
        <v>4</v>
      </c>
      <c r="J69" s="60">
        <v>5.6180555555555553E-2</v>
      </c>
      <c r="K69" s="127" t="s">
        <v>1156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>
      <c r="A70" s="31" t="s">
        <v>209</v>
      </c>
      <c r="B70" s="103">
        <v>96</v>
      </c>
      <c r="C70" s="103">
        <v>84</v>
      </c>
      <c r="D70" s="21">
        <v>43</v>
      </c>
      <c r="E70" s="168">
        <v>6.14</v>
      </c>
      <c r="F70" s="21">
        <v>213</v>
      </c>
      <c r="G70" s="169">
        <v>30</v>
      </c>
      <c r="H70" s="103">
        <v>394</v>
      </c>
      <c r="I70" s="107">
        <v>45720</v>
      </c>
      <c r="J70" s="60">
        <v>4.5127314814814815E-2</v>
      </c>
      <c r="K70" s="109">
        <v>9.2592592592592596E-4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2.75">
      <c r="A71" s="31" t="s">
        <v>86</v>
      </c>
      <c r="B71" s="90">
        <v>31</v>
      </c>
      <c r="C71" s="90">
        <v>3</v>
      </c>
      <c r="D71" s="21">
        <v>30</v>
      </c>
      <c r="E71" s="168">
        <v>4.29</v>
      </c>
      <c r="F71" s="127" t="s">
        <v>1145</v>
      </c>
      <c r="G71" s="127" t="s">
        <v>1145</v>
      </c>
      <c r="H71" s="29">
        <v>277</v>
      </c>
      <c r="I71" s="107">
        <v>45720</v>
      </c>
      <c r="J71" s="60">
        <v>5.590277777777778E-2</v>
      </c>
      <c r="K71" s="113">
        <v>2.662037037037037E-3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75">
      <c r="A72" s="31" t="s">
        <v>87</v>
      </c>
      <c r="B72" s="151">
        <v>45</v>
      </c>
      <c r="C72" s="103">
        <v>28</v>
      </c>
      <c r="D72" s="103">
        <v>39</v>
      </c>
      <c r="E72" s="168">
        <v>5.57</v>
      </c>
      <c r="F72" s="87">
        <v>52</v>
      </c>
      <c r="G72" s="33">
        <v>5</v>
      </c>
      <c r="H72" s="103">
        <v>472</v>
      </c>
      <c r="I72" s="107">
        <v>45781</v>
      </c>
      <c r="J72" s="9">
        <v>3.1481481481481478E-2</v>
      </c>
      <c r="K72" s="109">
        <v>1.0185185185185184E-3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>
      <c r="A73" s="31" t="s">
        <v>23</v>
      </c>
      <c r="B73" s="29">
        <v>74</v>
      </c>
      <c r="C73" s="90">
        <v>1</v>
      </c>
      <c r="D73" s="29">
        <v>3</v>
      </c>
      <c r="E73" s="168">
        <v>0.43</v>
      </c>
      <c r="F73" s="21">
        <v>0</v>
      </c>
      <c r="G73" s="33">
        <v>0</v>
      </c>
      <c r="H73" s="21">
        <v>72</v>
      </c>
      <c r="I73" s="87">
        <v>3</v>
      </c>
      <c r="J73" s="9">
        <v>1.9074074074074073E-2</v>
      </c>
      <c r="K73" s="109">
        <v>1.7361111111111112E-4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>
      <c r="A74" s="31" t="s">
        <v>39</v>
      </c>
      <c r="B74" s="29">
        <v>83</v>
      </c>
      <c r="C74" s="29">
        <v>70</v>
      </c>
      <c r="D74" s="29">
        <v>68</v>
      </c>
      <c r="E74" s="168">
        <v>9.7100000000000009</v>
      </c>
      <c r="F74" s="21">
        <v>76</v>
      </c>
      <c r="G74" s="33">
        <v>9</v>
      </c>
      <c r="H74" s="29">
        <v>627</v>
      </c>
      <c r="I74" s="107">
        <v>45842</v>
      </c>
      <c r="J74" s="9">
        <v>1.9386574074074073E-2</v>
      </c>
      <c r="K74" s="109">
        <v>8.6805555555555551E-4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>
      <c r="A75" s="31" t="s">
        <v>512</v>
      </c>
      <c r="B75" s="29">
        <v>95</v>
      </c>
      <c r="C75" s="90">
        <v>0</v>
      </c>
      <c r="D75" s="29">
        <v>35</v>
      </c>
      <c r="E75" s="168">
        <v>5</v>
      </c>
      <c r="F75" s="87">
        <v>0</v>
      </c>
      <c r="G75" s="33">
        <v>0</v>
      </c>
      <c r="H75" s="29">
        <v>682</v>
      </c>
      <c r="I75" s="149">
        <v>45841</v>
      </c>
      <c r="J75" s="9">
        <v>2.2928240740740742E-2</v>
      </c>
      <c r="K75" s="109">
        <v>1.2962962962962963E-3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>
      <c r="A76" s="31" t="s">
        <v>1157</v>
      </c>
      <c r="B76" s="29" t="s">
        <v>1158</v>
      </c>
      <c r="C76" s="29" t="s">
        <v>1159</v>
      </c>
      <c r="D76" s="29" t="s">
        <v>1160</v>
      </c>
      <c r="E76" s="168" t="s">
        <v>1161</v>
      </c>
      <c r="F76" s="21" t="s">
        <v>1162</v>
      </c>
      <c r="G76" s="33" t="s">
        <v>1163</v>
      </c>
      <c r="H76" s="29" t="s">
        <v>1164</v>
      </c>
      <c r="I76" s="29" t="s">
        <v>1162</v>
      </c>
      <c r="J76" s="12" t="s">
        <v>1165</v>
      </c>
      <c r="K76" s="21" t="s">
        <v>1166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>
      <c r="A77" s="31" t="s">
        <v>93</v>
      </c>
      <c r="B77" s="90">
        <v>49</v>
      </c>
      <c r="C77" s="29">
        <v>38</v>
      </c>
      <c r="D77" s="29">
        <v>37</v>
      </c>
      <c r="E77" s="168">
        <v>5.29</v>
      </c>
      <c r="F77" s="21">
        <v>106</v>
      </c>
      <c r="G77" s="169">
        <v>20</v>
      </c>
      <c r="H77" s="29">
        <v>306</v>
      </c>
      <c r="I77" s="107">
        <v>45661</v>
      </c>
      <c r="J77" s="60">
        <v>7.6412037037037042E-2</v>
      </c>
      <c r="K77" s="113">
        <v>4.0046296296296297E-3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>
      <c r="A78" s="31" t="s">
        <v>515</v>
      </c>
      <c r="B78" s="90">
        <v>17</v>
      </c>
      <c r="C78" s="90">
        <v>0</v>
      </c>
      <c r="D78" s="29">
        <v>1</v>
      </c>
      <c r="E78" s="168">
        <v>0.14000000000000001</v>
      </c>
      <c r="F78" s="21">
        <v>0</v>
      </c>
      <c r="G78" s="33">
        <v>0</v>
      </c>
      <c r="H78" s="29">
        <v>29</v>
      </c>
      <c r="I78" s="149">
        <v>45811</v>
      </c>
      <c r="J78" s="9">
        <v>1.1574074074074073E-2</v>
      </c>
      <c r="K78" s="109">
        <v>2.6620370370370372E-4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>
      <c r="A79" s="31" t="s">
        <v>814</v>
      </c>
      <c r="B79" s="29">
        <v>105</v>
      </c>
      <c r="C79" s="29">
        <v>52</v>
      </c>
      <c r="D79" s="29">
        <v>20</v>
      </c>
      <c r="E79" s="168">
        <v>2.86</v>
      </c>
      <c r="F79" s="127" t="s">
        <v>1145</v>
      </c>
      <c r="G79" s="127" t="s">
        <v>1145</v>
      </c>
      <c r="H79" s="21">
        <v>405</v>
      </c>
      <c r="I79" s="82">
        <v>45812</v>
      </c>
      <c r="J79" s="60">
        <v>5.1886574074074071E-2</v>
      </c>
      <c r="K79" s="113">
        <v>5.8333333333333336E-3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>
      <c r="A80" s="31" t="s">
        <v>20</v>
      </c>
      <c r="B80" s="90">
        <v>65</v>
      </c>
      <c r="C80" s="29">
        <v>34</v>
      </c>
      <c r="D80" s="29">
        <v>63</v>
      </c>
      <c r="E80" s="168">
        <v>9</v>
      </c>
      <c r="F80" s="21">
        <v>162</v>
      </c>
      <c r="G80" s="169">
        <v>22</v>
      </c>
      <c r="H80" s="21">
        <v>533</v>
      </c>
      <c r="I80" s="82">
        <v>45751</v>
      </c>
      <c r="J80" s="60">
        <v>4.7893518518518516E-2</v>
      </c>
      <c r="K80" s="113">
        <v>2.1990740740740742E-3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>
      <c r="A81" s="31" t="s">
        <v>27</v>
      </c>
      <c r="B81" s="29">
        <v>74</v>
      </c>
      <c r="C81" s="29">
        <v>43</v>
      </c>
      <c r="D81" s="29">
        <v>35</v>
      </c>
      <c r="E81" s="168">
        <v>5</v>
      </c>
      <c r="F81" s="154" t="s">
        <v>1167</v>
      </c>
      <c r="G81" s="169">
        <v>19</v>
      </c>
      <c r="H81" s="29">
        <v>426</v>
      </c>
      <c r="I81" s="107">
        <v>45842</v>
      </c>
      <c r="J81" s="91">
        <v>4.7280092592592596E-2</v>
      </c>
      <c r="K81" s="154" t="s">
        <v>1168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>
      <c r="A82" s="31" t="s">
        <v>38</v>
      </c>
      <c r="B82" s="29">
        <v>73</v>
      </c>
      <c r="C82" s="29">
        <v>45</v>
      </c>
      <c r="D82" s="29">
        <v>36</v>
      </c>
      <c r="E82" s="168">
        <v>5.14</v>
      </c>
      <c r="F82" s="21">
        <v>105</v>
      </c>
      <c r="G82" s="33">
        <v>6</v>
      </c>
      <c r="H82" s="21">
        <v>395</v>
      </c>
      <c r="I82" s="82">
        <v>45812</v>
      </c>
      <c r="J82" s="9">
        <v>2.2349537037037036E-2</v>
      </c>
      <c r="K82" s="109">
        <v>9.837962962962962E-4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>
      <c r="A83" s="31" t="s">
        <v>519</v>
      </c>
      <c r="B83" s="90">
        <v>14</v>
      </c>
      <c r="C83" s="90">
        <v>1</v>
      </c>
      <c r="D83" s="29">
        <v>31</v>
      </c>
      <c r="E83" s="168">
        <v>4.43</v>
      </c>
      <c r="F83" s="21">
        <v>120</v>
      </c>
      <c r="G83" s="169">
        <v>20</v>
      </c>
      <c r="H83" s="21">
        <v>381</v>
      </c>
      <c r="I83" s="82">
        <v>45661</v>
      </c>
      <c r="J83" s="60">
        <v>7.1874999999999994E-2</v>
      </c>
      <c r="K83" s="113">
        <v>2.9976851851851853E-3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>
      <c r="A84" s="31" t="s">
        <v>522</v>
      </c>
      <c r="B84" s="29">
        <v>79</v>
      </c>
      <c r="C84" s="29">
        <v>32</v>
      </c>
      <c r="D84" s="29">
        <v>28</v>
      </c>
      <c r="E84" s="168">
        <v>4</v>
      </c>
      <c r="F84" s="87">
        <v>40</v>
      </c>
      <c r="G84" s="33">
        <v>5</v>
      </c>
      <c r="H84" s="29">
        <v>203</v>
      </c>
      <c r="I84" s="107">
        <v>45692</v>
      </c>
      <c r="J84" s="60">
        <v>4.8518518518518516E-2</v>
      </c>
      <c r="K84" s="113">
        <v>3.5648148148148149E-3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>
      <c r="A85" s="31" t="s">
        <v>42</v>
      </c>
      <c r="B85" s="115" t="s">
        <v>1169</v>
      </c>
      <c r="C85" s="115" t="s">
        <v>1170</v>
      </c>
      <c r="D85" s="115" t="s">
        <v>1171</v>
      </c>
      <c r="E85" s="168">
        <v>8.14</v>
      </c>
      <c r="F85" s="21">
        <v>96</v>
      </c>
      <c r="G85" s="169">
        <v>15</v>
      </c>
      <c r="H85" s="115" t="s">
        <v>1172</v>
      </c>
      <c r="I85" s="107">
        <v>45781</v>
      </c>
      <c r="J85" s="9">
        <v>2.4687500000000001E-2</v>
      </c>
      <c r="K85" s="109">
        <v>1.4583333333333334E-3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">
      <c r="A86" s="156" t="s">
        <v>15</v>
      </c>
      <c r="B86" s="157">
        <v>1367</v>
      </c>
      <c r="C86" s="170">
        <v>697</v>
      </c>
      <c r="D86" s="157">
        <v>825</v>
      </c>
      <c r="F86" s="170">
        <v>1313</v>
      </c>
      <c r="G86" s="171">
        <v>196</v>
      </c>
      <c r="H86" s="159" t="s">
        <v>1173</v>
      </c>
      <c r="I86" s="158" t="s">
        <v>1098</v>
      </c>
      <c r="J86" s="160">
        <v>4.5983796296296293E-2</v>
      </c>
      <c r="K86" s="160">
        <v>2.1064814814814813E-3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">
      <c r="A87" s="156" t="s">
        <v>1174</v>
      </c>
      <c r="B87" s="161">
        <v>1512</v>
      </c>
      <c r="C87" s="162">
        <v>420</v>
      </c>
      <c r="D87" s="162" t="s">
        <v>1175</v>
      </c>
      <c r="F87" s="164">
        <v>1300</v>
      </c>
      <c r="G87" s="165" t="s">
        <v>1176</v>
      </c>
      <c r="H87" s="164">
        <v>5400</v>
      </c>
      <c r="I87" s="166">
        <v>45904</v>
      </c>
      <c r="J87" s="167">
        <v>4.1666666666666664E-2</v>
      </c>
      <c r="K87" s="167">
        <v>1.3888888888888889E-3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">
      <c r="A88" s="156" t="s">
        <v>1177</v>
      </c>
      <c r="B88" s="161">
        <v>72</v>
      </c>
      <c r="C88" s="162">
        <v>20</v>
      </c>
      <c r="D88" s="162">
        <v>23</v>
      </c>
      <c r="F88" s="164">
        <v>61</v>
      </c>
      <c r="G88" s="165">
        <v>10</v>
      </c>
      <c r="H88" s="164">
        <v>257</v>
      </c>
      <c r="I88" s="166">
        <v>45781</v>
      </c>
      <c r="J88" s="167">
        <v>3.471064814814815E-2</v>
      </c>
      <c r="K88" s="167">
        <v>9.2592592592592596E-4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">
      <c r="A89" s="139"/>
      <c r="B89" s="140"/>
      <c r="C89" s="138"/>
      <c r="D89" s="139"/>
      <c r="E89" s="13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">
      <c r="A90" s="139"/>
      <c r="B90" s="140"/>
      <c r="C90" s="138"/>
      <c r="D90" s="139"/>
      <c r="E90" s="13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">
      <c r="A91" s="139"/>
      <c r="B91" s="140"/>
      <c r="C91" s="138"/>
      <c r="D91" s="139"/>
      <c r="E91" s="13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26.25">
      <c r="A93" s="4" t="s">
        <v>1649</v>
      </c>
      <c r="B93" s="172"/>
      <c r="C93" s="172"/>
      <c r="D93" s="39"/>
      <c r="E93" s="39"/>
      <c r="F93" s="39"/>
      <c r="G93" s="3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>
      <c r="A94" s="16" t="s">
        <v>77</v>
      </c>
      <c r="B94" s="164" t="s">
        <v>1138</v>
      </c>
      <c r="C94" s="164" t="s">
        <v>1139</v>
      </c>
      <c r="D94" s="165" t="s">
        <v>32</v>
      </c>
      <c r="E94" s="165" t="s">
        <v>33</v>
      </c>
      <c r="F94" s="165" t="s">
        <v>34</v>
      </c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>
      <c r="A95" s="20" t="s">
        <v>30</v>
      </c>
      <c r="B95" s="25">
        <v>3</v>
      </c>
      <c r="C95" s="25">
        <v>0</v>
      </c>
      <c r="D95" s="26">
        <v>20</v>
      </c>
      <c r="E95" s="25">
        <v>0</v>
      </c>
      <c r="F95" s="26">
        <v>0</v>
      </c>
      <c r="G95" s="3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>
      <c r="A96" s="20" t="s">
        <v>28</v>
      </c>
      <c r="B96" s="21">
        <v>23</v>
      </c>
      <c r="C96" s="21">
        <v>0</v>
      </c>
      <c r="D96" s="21">
        <v>4</v>
      </c>
      <c r="E96" s="12">
        <v>109</v>
      </c>
      <c r="F96" s="21">
        <v>5</v>
      </c>
      <c r="G96" s="6"/>
      <c r="H96" s="6"/>
      <c r="I96" s="6"/>
      <c r="J96" s="6"/>
      <c r="K96" s="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>
      <c r="A97" s="20" t="s">
        <v>22</v>
      </c>
      <c r="B97" s="26">
        <v>0</v>
      </c>
      <c r="C97" s="26">
        <v>192</v>
      </c>
      <c r="D97" s="26">
        <v>111</v>
      </c>
      <c r="E97" s="25">
        <v>37</v>
      </c>
      <c r="F97" s="26">
        <v>12</v>
      </c>
      <c r="G97" s="39"/>
      <c r="H97" s="39"/>
      <c r="I97" s="39"/>
      <c r="J97" s="39"/>
      <c r="K97" s="3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2.75">
      <c r="A98" s="20" t="s">
        <v>25</v>
      </c>
      <c r="B98" s="21">
        <v>13</v>
      </c>
      <c r="C98" s="21">
        <v>0</v>
      </c>
      <c r="D98" s="21">
        <v>8</v>
      </c>
      <c r="E98" s="12">
        <v>0</v>
      </c>
      <c r="F98" s="21">
        <v>0</v>
      </c>
      <c r="G98" s="6"/>
      <c r="H98" s="6"/>
      <c r="I98" s="6"/>
      <c r="J98" s="6"/>
      <c r="K98" s="6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2.75">
      <c r="A99" s="20" t="s">
        <v>18</v>
      </c>
      <c r="B99" s="26">
        <v>0</v>
      </c>
      <c r="C99" s="26">
        <v>0</v>
      </c>
      <c r="D99" s="26">
        <v>0</v>
      </c>
      <c r="E99" s="25">
        <v>0</v>
      </c>
      <c r="F99" s="26">
        <v>0</v>
      </c>
      <c r="G99" s="39"/>
      <c r="H99" s="39"/>
      <c r="I99" s="39"/>
      <c r="J99" s="39"/>
      <c r="K99" s="3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>
      <c r="A100" s="20" t="s">
        <v>12</v>
      </c>
      <c r="B100" s="21">
        <v>10</v>
      </c>
      <c r="C100" s="21">
        <v>0</v>
      </c>
      <c r="D100" s="21">
        <v>11</v>
      </c>
      <c r="E100" s="12">
        <v>80</v>
      </c>
      <c r="F100" s="21">
        <v>3</v>
      </c>
      <c r="G100" s="6"/>
      <c r="H100" s="6"/>
      <c r="I100" s="6"/>
      <c r="J100" s="6"/>
      <c r="K100" s="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>
      <c r="A101" s="16" t="s">
        <v>80</v>
      </c>
      <c r="B101" s="17" t="s">
        <v>1140</v>
      </c>
      <c r="C101" s="17" t="s">
        <v>1141</v>
      </c>
      <c r="D101" s="101" t="s">
        <v>32</v>
      </c>
      <c r="E101" s="18" t="s">
        <v>1142</v>
      </c>
      <c r="F101" s="240" t="s">
        <v>1143</v>
      </c>
      <c r="G101" s="241"/>
      <c r="H101" s="17" t="s">
        <v>505</v>
      </c>
      <c r="I101" s="17" t="s">
        <v>31</v>
      </c>
      <c r="J101" s="18" t="s">
        <v>1144</v>
      </c>
      <c r="K101" s="81" t="s">
        <v>35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75">
      <c r="A102" s="20" t="s">
        <v>21</v>
      </c>
      <c r="B102" s="21">
        <v>179</v>
      </c>
      <c r="C102" s="21">
        <v>105</v>
      </c>
      <c r="D102" s="87">
        <v>45</v>
      </c>
      <c r="E102" s="57">
        <v>6.43</v>
      </c>
      <c r="F102" s="21">
        <v>76</v>
      </c>
      <c r="G102" s="12">
        <v>32</v>
      </c>
      <c r="H102" s="12">
        <v>280</v>
      </c>
      <c r="I102" s="149">
        <v>45872</v>
      </c>
      <c r="J102" s="60">
        <v>5.7175925925925929E-2</v>
      </c>
      <c r="K102" s="109">
        <v>2.6967592592592594E-3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75">
      <c r="A103" s="20" t="s">
        <v>1178</v>
      </c>
      <c r="B103" s="29" t="s">
        <v>1179</v>
      </c>
      <c r="C103" s="29" t="s">
        <v>1180</v>
      </c>
      <c r="D103" s="21" t="s">
        <v>1181</v>
      </c>
      <c r="E103" s="21" t="s">
        <v>1182</v>
      </c>
      <c r="F103" s="21" t="s">
        <v>1183</v>
      </c>
      <c r="G103" s="12" t="s">
        <v>1184</v>
      </c>
      <c r="H103" s="104" t="s">
        <v>1185</v>
      </c>
      <c r="I103" s="107">
        <v>45781</v>
      </c>
      <c r="J103" s="60">
        <v>7.2662037037037039E-2</v>
      </c>
      <c r="K103" s="109">
        <v>8.3333333333333339E-4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2.75">
      <c r="A104" s="20" t="s">
        <v>41</v>
      </c>
      <c r="B104" s="90">
        <v>46</v>
      </c>
      <c r="C104" s="90">
        <v>12</v>
      </c>
      <c r="D104" s="12">
        <v>28</v>
      </c>
      <c r="E104" s="57">
        <v>4</v>
      </c>
      <c r="F104" s="87">
        <v>36</v>
      </c>
      <c r="G104" s="12">
        <v>8</v>
      </c>
      <c r="H104" s="148">
        <v>196</v>
      </c>
      <c r="I104" s="149">
        <v>45841</v>
      </c>
      <c r="J104" s="60">
        <v>4.7210648148148147E-2</v>
      </c>
      <c r="K104" s="113">
        <v>3.0439814814814813E-3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2.75">
      <c r="A105" s="20" t="s">
        <v>135</v>
      </c>
      <c r="B105" s="90">
        <v>49</v>
      </c>
      <c r="C105" s="90">
        <v>14</v>
      </c>
      <c r="D105" s="87">
        <v>42</v>
      </c>
      <c r="E105" s="58">
        <v>6</v>
      </c>
      <c r="F105" s="87">
        <v>34</v>
      </c>
      <c r="G105" s="12">
        <v>3</v>
      </c>
      <c r="H105" s="148">
        <v>171</v>
      </c>
      <c r="I105" s="149">
        <v>45780</v>
      </c>
      <c r="J105" s="9">
        <v>4.0787037037037038E-2</v>
      </c>
      <c r="K105" s="109">
        <v>2.2800925925925927E-3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2.75">
      <c r="A106" s="20" t="s">
        <v>796</v>
      </c>
      <c r="B106" s="29">
        <v>80</v>
      </c>
      <c r="C106" s="90">
        <v>11</v>
      </c>
      <c r="D106" s="12">
        <v>20</v>
      </c>
      <c r="E106" s="57">
        <v>2.86</v>
      </c>
      <c r="F106" s="127" t="s">
        <v>1145</v>
      </c>
      <c r="G106" s="127" t="s">
        <v>1145</v>
      </c>
      <c r="H106" s="115" t="s">
        <v>1186</v>
      </c>
      <c r="I106" s="107">
        <v>45781</v>
      </c>
      <c r="J106" s="60">
        <v>5.2881944444444447E-2</v>
      </c>
      <c r="K106" s="152" t="s">
        <v>1187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>
      <c r="A107" s="20" t="s">
        <v>209</v>
      </c>
      <c r="B107" s="103">
        <v>88</v>
      </c>
      <c r="C107" s="103">
        <v>53</v>
      </c>
      <c r="D107" s="87">
        <v>49</v>
      </c>
      <c r="E107" s="58">
        <v>7</v>
      </c>
      <c r="F107" s="21">
        <v>130</v>
      </c>
      <c r="G107" s="87">
        <v>49</v>
      </c>
      <c r="H107" s="103">
        <v>305</v>
      </c>
      <c r="I107" s="107">
        <v>45661</v>
      </c>
      <c r="J107" s="60">
        <v>4.9375000000000002E-2</v>
      </c>
      <c r="K107" s="109">
        <v>1.7708333333333332E-3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2.75">
      <c r="A108" s="20" t="s">
        <v>86</v>
      </c>
      <c r="B108" s="90">
        <v>16</v>
      </c>
      <c r="C108" s="90">
        <v>0</v>
      </c>
      <c r="D108" s="21">
        <v>23</v>
      </c>
      <c r="E108" s="57">
        <v>3.29</v>
      </c>
      <c r="F108" s="127" t="s">
        <v>1145</v>
      </c>
      <c r="G108" s="127" t="s">
        <v>1145</v>
      </c>
      <c r="H108" s="90">
        <v>139</v>
      </c>
      <c r="I108" s="107">
        <v>45842</v>
      </c>
      <c r="J108" s="60">
        <v>5.3090277777777778E-2</v>
      </c>
      <c r="K108" s="109">
        <v>1.3541666666666667E-3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>
      <c r="A109" s="20" t="s">
        <v>87</v>
      </c>
      <c r="B109" s="151">
        <v>17</v>
      </c>
      <c r="C109" s="151">
        <v>11</v>
      </c>
      <c r="D109" s="151">
        <v>40</v>
      </c>
      <c r="E109" s="58">
        <v>5.71</v>
      </c>
      <c r="F109" s="21">
        <v>70</v>
      </c>
      <c r="G109" s="21">
        <v>12</v>
      </c>
      <c r="H109" s="103">
        <v>364</v>
      </c>
      <c r="I109" s="107">
        <v>45751</v>
      </c>
      <c r="J109" s="9">
        <v>2.5567129629629631E-2</v>
      </c>
      <c r="K109" s="109">
        <v>7.8703703703703705E-4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>
      <c r="A110" s="20" t="s">
        <v>23</v>
      </c>
      <c r="B110" s="90">
        <v>63</v>
      </c>
      <c r="C110" s="29">
        <v>2</v>
      </c>
      <c r="D110" s="29">
        <v>3</v>
      </c>
      <c r="E110" s="57">
        <v>0.43</v>
      </c>
      <c r="F110" s="21">
        <v>0</v>
      </c>
      <c r="G110" s="21">
        <v>0</v>
      </c>
      <c r="H110" s="87">
        <v>122</v>
      </c>
      <c r="I110" s="173">
        <v>45781</v>
      </c>
      <c r="J110" s="109">
        <v>3.0960648148148147E-2</v>
      </c>
      <c r="K110" s="113">
        <v>3.8657407407407408E-3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2.75">
      <c r="A111" s="20" t="s">
        <v>39</v>
      </c>
      <c r="B111" s="29">
        <v>109</v>
      </c>
      <c r="C111" s="29">
        <v>37</v>
      </c>
      <c r="D111" s="90">
        <v>42</v>
      </c>
      <c r="E111" s="58">
        <v>6</v>
      </c>
      <c r="F111" s="21">
        <v>74</v>
      </c>
      <c r="G111" s="21">
        <v>23</v>
      </c>
      <c r="H111" s="29">
        <v>567</v>
      </c>
      <c r="I111" s="107">
        <v>45812</v>
      </c>
      <c r="J111" s="9">
        <v>1.9560185185185184E-2</v>
      </c>
      <c r="K111" s="109">
        <v>1.1342592592592593E-3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>
      <c r="A112" s="20" t="s">
        <v>512</v>
      </c>
      <c r="B112" s="90">
        <v>38</v>
      </c>
      <c r="C112" s="29">
        <v>0</v>
      </c>
      <c r="D112" s="29">
        <v>28</v>
      </c>
      <c r="E112" s="57">
        <v>4</v>
      </c>
      <c r="F112" s="21">
        <v>0</v>
      </c>
      <c r="G112" s="21">
        <v>0</v>
      </c>
      <c r="H112" s="29">
        <v>582</v>
      </c>
      <c r="I112" s="149">
        <v>45903</v>
      </c>
      <c r="J112" s="9">
        <v>2.5196759259259259E-2</v>
      </c>
      <c r="K112" s="109">
        <v>2.4537037037037036E-3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>
      <c r="A113" s="20" t="s">
        <v>1188</v>
      </c>
      <c r="B113" s="90">
        <v>2</v>
      </c>
      <c r="C113" s="29">
        <v>0</v>
      </c>
      <c r="D113" s="29">
        <v>0</v>
      </c>
      <c r="E113" s="58">
        <v>0</v>
      </c>
      <c r="F113" s="87" t="s">
        <v>1189</v>
      </c>
      <c r="G113" s="12" t="s">
        <v>1190</v>
      </c>
      <c r="H113" s="104" t="s">
        <v>1191</v>
      </c>
      <c r="I113" s="29" t="s">
        <v>1192</v>
      </c>
      <c r="J113" s="9">
        <v>1.6041666666666666E-2</v>
      </c>
      <c r="K113" s="109">
        <v>5.5555555555555556E-4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75">
      <c r="A114" s="20" t="s">
        <v>93</v>
      </c>
      <c r="B114" s="90">
        <v>23</v>
      </c>
      <c r="C114" s="90">
        <v>6</v>
      </c>
      <c r="D114" s="29">
        <v>29</v>
      </c>
      <c r="E114" s="57">
        <v>4.1399999999999997</v>
      </c>
      <c r="F114" s="87">
        <v>26</v>
      </c>
      <c r="G114" s="21">
        <v>3</v>
      </c>
      <c r="H114" s="29">
        <v>260</v>
      </c>
      <c r="I114" s="107">
        <v>45842</v>
      </c>
      <c r="J114" s="60">
        <v>5.0185185185185187E-2</v>
      </c>
      <c r="K114" s="113">
        <v>2.8819444444444444E-3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75">
      <c r="A115" s="20" t="s">
        <v>515</v>
      </c>
      <c r="B115" s="90">
        <v>7</v>
      </c>
      <c r="C115" s="29">
        <v>0</v>
      </c>
      <c r="D115" s="29">
        <v>1</v>
      </c>
      <c r="E115" s="58">
        <v>0.14000000000000001</v>
      </c>
      <c r="F115" s="21">
        <v>0</v>
      </c>
      <c r="G115" s="21">
        <v>0</v>
      </c>
      <c r="H115" s="90">
        <v>80</v>
      </c>
      <c r="I115" s="107">
        <v>45842</v>
      </c>
      <c r="J115" s="9">
        <v>1.7384259259259259E-2</v>
      </c>
      <c r="K115" s="109">
        <v>1.4699074074074074E-3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>
      <c r="A116" s="20" t="s">
        <v>814</v>
      </c>
      <c r="B116" s="29">
        <v>103</v>
      </c>
      <c r="C116" s="29">
        <v>34</v>
      </c>
      <c r="D116" s="29">
        <v>27</v>
      </c>
      <c r="E116" s="57">
        <v>3.86</v>
      </c>
      <c r="F116" s="127" t="s">
        <v>1145</v>
      </c>
      <c r="G116" s="127" t="s">
        <v>1145</v>
      </c>
      <c r="H116" s="12">
        <v>283</v>
      </c>
      <c r="I116" s="82">
        <v>45692</v>
      </c>
      <c r="J116" s="174">
        <v>5.3773148148148146E-2</v>
      </c>
      <c r="K116" s="113">
        <v>2.9513888888888888E-3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>
      <c r="A117" s="20" t="s">
        <v>20</v>
      </c>
      <c r="B117" s="90">
        <v>56</v>
      </c>
      <c r="C117" s="90">
        <v>16</v>
      </c>
      <c r="D117" s="90">
        <v>37</v>
      </c>
      <c r="E117" s="58">
        <v>5.29</v>
      </c>
      <c r="F117" s="21">
        <v>109</v>
      </c>
      <c r="G117" s="21">
        <v>44</v>
      </c>
      <c r="H117" s="21">
        <v>417</v>
      </c>
      <c r="I117" s="82">
        <v>45720</v>
      </c>
      <c r="J117" s="60">
        <v>4.5208333333333336E-2</v>
      </c>
      <c r="K117" s="109">
        <v>2.1759259259259258E-3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>
      <c r="A118" s="20" t="s">
        <v>27</v>
      </c>
      <c r="B118" s="90">
        <v>44</v>
      </c>
      <c r="C118" s="90">
        <v>11</v>
      </c>
      <c r="D118" s="29">
        <v>27</v>
      </c>
      <c r="E118" s="57">
        <v>3.86</v>
      </c>
      <c r="F118" s="154" t="s">
        <v>1193</v>
      </c>
      <c r="G118" s="21">
        <v>37</v>
      </c>
      <c r="H118" s="29">
        <v>341</v>
      </c>
      <c r="I118" s="107">
        <v>45812</v>
      </c>
      <c r="J118" s="91">
        <v>4.4826388888888888E-2</v>
      </c>
      <c r="K118" s="154" t="s">
        <v>1194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>
      <c r="A119" s="20" t="s">
        <v>38</v>
      </c>
      <c r="B119" s="90">
        <v>60</v>
      </c>
      <c r="C119" s="90">
        <v>13</v>
      </c>
      <c r="D119" s="29">
        <v>33</v>
      </c>
      <c r="E119" s="58">
        <v>4.71</v>
      </c>
      <c r="F119" s="21">
        <v>91</v>
      </c>
      <c r="G119" s="152" t="s">
        <v>1151</v>
      </c>
      <c r="H119" s="152" t="s">
        <v>1195</v>
      </c>
      <c r="I119" s="82">
        <v>45661</v>
      </c>
      <c r="J119" s="9">
        <v>2.5972222222222223E-2</v>
      </c>
      <c r="K119" s="109">
        <v>2.0370370370370369E-3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>
      <c r="A120" s="20" t="s">
        <v>519</v>
      </c>
      <c r="B120" s="90">
        <v>17</v>
      </c>
      <c r="C120" s="90">
        <v>3</v>
      </c>
      <c r="D120" s="90">
        <v>35</v>
      </c>
      <c r="E120" s="57">
        <v>5</v>
      </c>
      <c r="F120" s="21">
        <v>110</v>
      </c>
      <c r="G120" s="21">
        <v>48</v>
      </c>
      <c r="H120" s="21">
        <v>310</v>
      </c>
      <c r="I120" s="107">
        <v>45812</v>
      </c>
      <c r="J120" s="60">
        <v>6.2696759259259258E-2</v>
      </c>
      <c r="K120" s="113">
        <v>4.2476851851851851E-3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>
      <c r="A121" s="20" t="s">
        <v>522</v>
      </c>
      <c r="B121" s="29">
        <v>110</v>
      </c>
      <c r="C121" s="90">
        <v>23</v>
      </c>
      <c r="D121" s="29">
        <v>27</v>
      </c>
      <c r="E121" s="58">
        <v>3.86</v>
      </c>
      <c r="F121" s="87">
        <v>48</v>
      </c>
      <c r="G121" s="21">
        <v>1</v>
      </c>
      <c r="H121" s="29">
        <v>270</v>
      </c>
      <c r="I121" s="107">
        <v>45661</v>
      </c>
      <c r="J121" s="60">
        <v>5.9768518518518519E-2</v>
      </c>
      <c r="K121" s="113">
        <v>4.9074074074074072E-3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>
      <c r="A122" s="20" t="s">
        <v>42</v>
      </c>
      <c r="B122" s="115" t="s">
        <v>1196</v>
      </c>
      <c r="C122" s="115" t="s">
        <v>1197</v>
      </c>
      <c r="D122" s="155" t="s">
        <v>1198</v>
      </c>
      <c r="E122" s="57">
        <v>9.2899999999999991</v>
      </c>
      <c r="F122" s="21">
        <v>80</v>
      </c>
      <c r="G122" s="21">
        <v>35</v>
      </c>
      <c r="H122" s="115" t="s">
        <v>1199</v>
      </c>
      <c r="I122" s="107">
        <v>45751</v>
      </c>
      <c r="J122" s="60">
        <v>4.8622685185185185E-2</v>
      </c>
      <c r="K122" s="113">
        <v>2.8009259259259259E-3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">
      <c r="A123" s="156" t="s">
        <v>15</v>
      </c>
      <c r="B123" s="157">
        <v>1144</v>
      </c>
      <c r="C123" s="157">
        <v>380</v>
      </c>
      <c r="D123" s="170">
        <v>690</v>
      </c>
      <c r="E123" s="6"/>
      <c r="F123" s="157">
        <v>884</v>
      </c>
      <c r="G123" s="158">
        <v>295</v>
      </c>
      <c r="H123" s="159" t="s">
        <v>1200</v>
      </c>
      <c r="I123" s="175">
        <v>45720</v>
      </c>
      <c r="J123" s="176">
        <v>4.2812500000000003E-2</v>
      </c>
      <c r="K123" s="160">
        <v>2.3263888888888887E-3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">
      <c r="A124" s="156" t="s">
        <v>1174</v>
      </c>
      <c r="B124" s="164">
        <v>1512</v>
      </c>
      <c r="C124" s="177" t="s">
        <v>1201</v>
      </c>
      <c r="D124" s="165" t="s">
        <v>1202</v>
      </c>
      <c r="E124" s="45"/>
      <c r="F124" s="164">
        <v>1300</v>
      </c>
      <c r="G124" s="165" t="s">
        <v>1176</v>
      </c>
      <c r="H124" s="164">
        <v>4600</v>
      </c>
      <c r="I124" s="166">
        <v>45781</v>
      </c>
      <c r="J124" s="167">
        <v>4.1666666666666664E-2</v>
      </c>
      <c r="K124" s="167">
        <v>2.0717592592592593E-3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">
      <c r="A125" s="156" t="s">
        <v>1177</v>
      </c>
      <c r="B125" s="164">
        <v>72</v>
      </c>
      <c r="C125" s="165">
        <v>24</v>
      </c>
      <c r="D125" s="165">
        <v>33</v>
      </c>
      <c r="E125" s="7"/>
      <c r="F125" s="164">
        <v>61</v>
      </c>
      <c r="G125" s="165">
        <v>10</v>
      </c>
      <c r="H125" s="164">
        <v>219</v>
      </c>
      <c r="I125" s="165" t="s">
        <v>1203</v>
      </c>
      <c r="J125" s="167">
        <v>3.471064814814815E-2</v>
      </c>
      <c r="K125" s="167">
        <v>9.2592592592592596E-4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7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26.25">
      <c r="A131" s="4" t="s">
        <v>1650</v>
      </c>
      <c r="B131" s="172"/>
      <c r="C131" s="172"/>
      <c r="D131" s="39"/>
      <c r="E131" s="39"/>
      <c r="F131" s="39"/>
      <c r="G131" s="3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>
      <c r="A132" s="16" t="s">
        <v>77</v>
      </c>
      <c r="B132" s="164" t="s">
        <v>1138</v>
      </c>
      <c r="C132" s="164" t="s">
        <v>1139</v>
      </c>
      <c r="D132" s="165" t="s">
        <v>32</v>
      </c>
      <c r="E132" s="165" t="s">
        <v>33</v>
      </c>
      <c r="F132" s="165" t="s">
        <v>34</v>
      </c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>
      <c r="A133" s="20" t="s">
        <v>30</v>
      </c>
      <c r="B133" s="25">
        <v>8</v>
      </c>
      <c r="C133" s="25">
        <v>0</v>
      </c>
      <c r="D133" s="26">
        <v>0</v>
      </c>
      <c r="E133" s="25">
        <v>46</v>
      </c>
      <c r="F133" s="26">
        <v>1</v>
      </c>
      <c r="G133" s="3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>
      <c r="A134" s="20" t="s">
        <v>28</v>
      </c>
      <c r="B134" s="21">
        <v>10</v>
      </c>
      <c r="C134" s="21">
        <v>0</v>
      </c>
      <c r="D134" s="21">
        <v>2</v>
      </c>
      <c r="E134" s="12">
        <v>115</v>
      </c>
      <c r="F134" s="21">
        <v>12</v>
      </c>
      <c r="G134" s="6"/>
      <c r="H134" s="6"/>
      <c r="I134" s="6"/>
      <c r="J134" s="6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>
      <c r="A135" s="20" t="s">
        <v>22</v>
      </c>
      <c r="B135" s="26">
        <v>0</v>
      </c>
      <c r="C135" s="26">
        <v>138</v>
      </c>
      <c r="D135" s="26">
        <v>84</v>
      </c>
      <c r="E135" s="25">
        <v>25</v>
      </c>
      <c r="F135" s="26">
        <v>17</v>
      </c>
      <c r="G135" s="39"/>
      <c r="H135" s="39"/>
      <c r="I135" s="39"/>
      <c r="J135" s="39"/>
      <c r="K135" s="3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>
      <c r="A136" s="20" t="s">
        <v>25</v>
      </c>
      <c r="B136" s="21">
        <v>3</v>
      </c>
      <c r="C136" s="21">
        <v>0</v>
      </c>
      <c r="D136" s="21">
        <v>4</v>
      </c>
      <c r="E136" s="12">
        <v>0</v>
      </c>
      <c r="F136" s="21">
        <v>0</v>
      </c>
      <c r="G136" s="6"/>
      <c r="H136" s="6"/>
      <c r="I136" s="6"/>
      <c r="J136" s="6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>
      <c r="A137" s="20" t="s">
        <v>18</v>
      </c>
      <c r="B137" s="26">
        <v>0</v>
      </c>
      <c r="C137" s="26">
        <v>0</v>
      </c>
      <c r="D137" s="26">
        <v>1</v>
      </c>
      <c r="E137" s="25">
        <v>0</v>
      </c>
      <c r="F137" s="26">
        <v>0</v>
      </c>
      <c r="G137" s="39"/>
      <c r="H137" s="39"/>
      <c r="I137" s="39"/>
      <c r="J137" s="39"/>
      <c r="K137" s="3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>
      <c r="A138" s="20" t="s">
        <v>12</v>
      </c>
      <c r="B138" s="21">
        <v>9</v>
      </c>
      <c r="C138" s="21">
        <v>0</v>
      </c>
      <c r="D138" s="21">
        <v>4</v>
      </c>
      <c r="E138" s="12">
        <v>100</v>
      </c>
      <c r="F138" s="21">
        <v>4</v>
      </c>
      <c r="G138" s="6"/>
      <c r="H138" s="6"/>
      <c r="I138" s="6"/>
      <c r="J138" s="6"/>
      <c r="K138" s="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>
      <c r="A139" s="16" t="s">
        <v>80</v>
      </c>
      <c r="B139" s="17" t="s">
        <v>1140</v>
      </c>
      <c r="C139" s="17" t="s">
        <v>1141</v>
      </c>
      <c r="D139" s="101" t="s">
        <v>32</v>
      </c>
      <c r="E139" s="18" t="s">
        <v>1142</v>
      </c>
      <c r="F139" s="240" t="s">
        <v>1143</v>
      </c>
      <c r="G139" s="241"/>
      <c r="H139" s="17" t="s">
        <v>505</v>
      </c>
      <c r="I139" s="17" t="s">
        <v>31</v>
      </c>
      <c r="J139" s="18" t="s">
        <v>1144</v>
      </c>
      <c r="K139" s="81" t="s">
        <v>35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>
      <c r="A140" s="20" t="s">
        <v>21</v>
      </c>
      <c r="B140" s="21">
        <v>169</v>
      </c>
      <c r="C140" s="21">
        <v>94</v>
      </c>
      <c r="D140" s="21">
        <v>27</v>
      </c>
      <c r="E140" s="57">
        <v>3.86</v>
      </c>
      <c r="F140" s="21">
        <v>35</v>
      </c>
      <c r="G140" s="88">
        <v>19</v>
      </c>
      <c r="H140" s="12">
        <v>268</v>
      </c>
      <c r="I140" s="29">
        <v>4.5</v>
      </c>
      <c r="J140" s="9">
        <v>3.7997685185185183E-2</v>
      </c>
      <c r="K140" s="113">
        <v>2.3032407407407407E-3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>
      <c r="A141" s="20" t="s">
        <v>1204</v>
      </c>
      <c r="B141" s="29" t="s">
        <v>8</v>
      </c>
      <c r="C141" s="29" t="s">
        <v>8</v>
      </c>
      <c r="D141" s="29" t="s">
        <v>8</v>
      </c>
      <c r="E141" s="21" t="s">
        <v>8</v>
      </c>
      <c r="F141" s="29" t="s">
        <v>8</v>
      </c>
      <c r="G141" s="29" t="s">
        <v>8</v>
      </c>
      <c r="H141" s="29" t="s">
        <v>8</v>
      </c>
      <c r="I141" s="29" t="s">
        <v>8</v>
      </c>
      <c r="J141" s="29" t="s">
        <v>8</v>
      </c>
      <c r="K141" s="29" t="s">
        <v>8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>
      <c r="A142" s="20" t="s">
        <v>41</v>
      </c>
      <c r="B142" s="90">
        <v>38</v>
      </c>
      <c r="C142" s="29">
        <v>33</v>
      </c>
      <c r="D142" s="12">
        <v>18</v>
      </c>
      <c r="E142" s="57">
        <v>2.57</v>
      </c>
      <c r="F142" s="21">
        <v>23</v>
      </c>
      <c r="G142" s="12">
        <v>4</v>
      </c>
      <c r="H142" s="104">
        <v>161</v>
      </c>
      <c r="I142" s="29">
        <v>4.3</v>
      </c>
      <c r="J142" s="60">
        <v>5.1967592592592593E-2</v>
      </c>
      <c r="K142" s="109">
        <v>1.7013888888888888E-3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75">
      <c r="A143" s="20" t="s">
        <v>135</v>
      </c>
      <c r="B143" s="90">
        <v>22</v>
      </c>
      <c r="C143" s="90">
        <v>11</v>
      </c>
      <c r="D143" s="21">
        <v>23</v>
      </c>
      <c r="E143" s="58">
        <v>3.29</v>
      </c>
      <c r="F143" s="87">
        <v>16</v>
      </c>
      <c r="G143" s="12">
        <v>0</v>
      </c>
      <c r="H143" s="148">
        <v>139</v>
      </c>
      <c r="I143" s="29">
        <v>4.2</v>
      </c>
      <c r="J143" s="9">
        <v>2.8391203703703703E-2</v>
      </c>
      <c r="K143" s="109">
        <v>1.6550925925925926E-3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>
      <c r="A144" s="20" t="s">
        <v>796</v>
      </c>
      <c r="B144" s="90">
        <v>46</v>
      </c>
      <c r="C144" s="29">
        <v>18</v>
      </c>
      <c r="D144" s="12">
        <v>16</v>
      </c>
      <c r="E144" s="57">
        <v>2.29</v>
      </c>
      <c r="F144" s="127" t="s">
        <v>1145</v>
      </c>
      <c r="G144" s="127" t="s">
        <v>1145</v>
      </c>
      <c r="H144" s="115" t="s">
        <v>1205</v>
      </c>
      <c r="I144" s="29">
        <v>4.7</v>
      </c>
      <c r="J144" s="60">
        <v>4.4560185185185182E-2</v>
      </c>
      <c r="K144" s="152" t="s">
        <v>1206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>
      <c r="A145" s="20" t="s">
        <v>209</v>
      </c>
      <c r="B145" s="103">
        <v>68</v>
      </c>
      <c r="C145" s="103">
        <v>24</v>
      </c>
      <c r="D145" s="87">
        <v>37</v>
      </c>
      <c r="E145" s="58">
        <v>5.29</v>
      </c>
      <c r="F145" s="21">
        <v>56</v>
      </c>
      <c r="G145" s="87">
        <v>22</v>
      </c>
      <c r="H145" s="103">
        <v>225</v>
      </c>
      <c r="I145" s="29">
        <v>4.9000000000000004</v>
      </c>
      <c r="J145" s="9">
        <v>3.259259259259259E-2</v>
      </c>
      <c r="K145" s="109">
        <v>3.9351851851851852E-4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>
      <c r="A146" s="20" t="s">
        <v>86</v>
      </c>
      <c r="B146" s="90">
        <v>17</v>
      </c>
      <c r="C146" s="90">
        <v>13</v>
      </c>
      <c r="D146" s="21">
        <v>10</v>
      </c>
      <c r="E146" s="57">
        <v>1.43</v>
      </c>
      <c r="F146" s="127" t="s">
        <v>1145</v>
      </c>
      <c r="G146" s="127" t="s">
        <v>1145</v>
      </c>
      <c r="H146" s="90">
        <v>97</v>
      </c>
      <c r="I146" s="90">
        <v>3.3</v>
      </c>
      <c r="J146" s="9">
        <v>4.0393518518518516E-2</v>
      </c>
      <c r="K146" s="109">
        <v>8.4490740740740739E-4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>
      <c r="A147" s="20" t="s">
        <v>87</v>
      </c>
      <c r="B147" s="151">
        <v>46</v>
      </c>
      <c r="C147" s="151">
        <v>9</v>
      </c>
      <c r="D147" s="103">
        <v>26</v>
      </c>
      <c r="E147" s="58">
        <v>3.71</v>
      </c>
      <c r="F147" s="21">
        <v>29</v>
      </c>
      <c r="G147" s="21">
        <v>5</v>
      </c>
      <c r="H147" s="103">
        <v>194</v>
      </c>
      <c r="I147" s="29">
        <v>4.4000000000000004</v>
      </c>
      <c r="J147" s="9">
        <v>2.9930555555555554E-2</v>
      </c>
      <c r="K147" s="109">
        <v>5.3240740740740744E-4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>
      <c r="A148" s="20" t="s">
        <v>23</v>
      </c>
      <c r="B148" s="29">
        <v>2</v>
      </c>
      <c r="C148" s="29">
        <v>0</v>
      </c>
      <c r="D148" s="29">
        <v>2</v>
      </c>
      <c r="E148" s="57">
        <v>0.28999999999999998</v>
      </c>
      <c r="F148" s="21">
        <v>0</v>
      </c>
      <c r="G148" s="21">
        <v>0</v>
      </c>
      <c r="H148" s="21">
        <v>21</v>
      </c>
      <c r="I148" s="178">
        <v>4</v>
      </c>
      <c r="J148" s="109">
        <v>8.4837962962962966E-3</v>
      </c>
      <c r="K148" s="109">
        <v>1.6203703703703703E-4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>
      <c r="A149" s="20" t="s">
        <v>39</v>
      </c>
      <c r="B149" s="90">
        <v>28</v>
      </c>
      <c r="C149" s="90">
        <v>9</v>
      </c>
      <c r="D149" s="29">
        <v>16</v>
      </c>
      <c r="E149" s="58">
        <v>2.29</v>
      </c>
      <c r="F149" s="21">
        <v>76</v>
      </c>
      <c r="G149" s="87">
        <v>16</v>
      </c>
      <c r="H149" s="29">
        <v>170</v>
      </c>
      <c r="I149" s="29">
        <v>4.5</v>
      </c>
      <c r="J149" s="9">
        <v>2.0057870370370372E-2</v>
      </c>
      <c r="K149" s="109">
        <v>5.9027777777777778E-4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>
      <c r="A150" s="20" t="s">
        <v>512</v>
      </c>
      <c r="B150" s="90">
        <v>26</v>
      </c>
      <c r="C150" s="29">
        <v>0</v>
      </c>
      <c r="D150" s="29">
        <v>20</v>
      </c>
      <c r="E150" s="57">
        <v>2.86</v>
      </c>
      <c r="F150" s="87">
        <v>1</v>
      </c>
      <c r="G150" s="21">
        <v>3</v>
      </c>
      <c r="H150" s="29">
        <v>225</v>
      </c>
      <c r="I150" s="29">
        <v>4.5999999999999996</v>
      </c>
      <c r="J150" s="9">
        <v>9.6064814814814815E-3</v>
      </c>
      <c r="K150" s="109">
        <v>5.3240740740740744E-4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>
      <c r="A151" s="20" t="s">
        <v>1207</v>
      </c>
      <c r="B151" s="90">
        <v>20</v>
      </c>
      <c r="C151" s="90">
        <v>15</v>
      </c>
      <c r="D151" s="29">
        <v>19</v>
      </c>
      <c r="E151" s="58">
        <v>2.71</v>
      </c>
      <c r="F151" s="21">
        <v>23</v>
      </c>
      <c r="G151" s="12">
        <v>1</v>
      </c>
      <c r="H151" s="104">
        <v>201</v>
      </c>
      <c r="I151" s="90">
        <v>3.9</v>
      </c>
      <c r="J151" s="9">
        <v>3.0324074074074073E-2</v>
      </c>
      <c r="K151" s="109">
        <v>9.2592592592592596E-4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>
      <c r="A152" s="20" t="s">
        <v>93</v>
      </c>
      <c r="B152" s="90">
        <v>14</v>
      </c>
      <c r="C152" s="90">
        <v>3</v>
      </c>
      <c r="D152" s="29">
        <v>21</v>
      </c>
      <c r="E152" s="57">
        <v>3</v>
      </c>
      <c r="F152" s="21">
        <v>22</v>
      </c>
      <c r="G152" s="87">
        <v>11</v>
      </c>
      <c r="H152" s="29">
        <v>250</v>
      </c>
      <c r="I152" s="29">
        <v>4.3</v>
      </c>
      <c r="J152" s="60">
        <v>5.1111111111111114E-2</v>
      </c>
      <c r="K152" s="113">
        <v>4.1087962962962962E-3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>
      <c r="A153" s="20" t="s">
        <v>515</v>
      </c>
      <c r="B153" s="29">
        <v>3</v>
      </c>
      <c r="C153" s="29">
        <v>0</v>
      </c>
      <c r="D153" s="29">
        <v>6</v>
      </c>
      <c r="E153" s="58">
        <v>0.86</v>
      </c>
      <c r="F153" s="21">
        <v>0</v>
      </c>
      <c r="G153" s="21">
        <v>0</v>
      </c>
      <c r="H153" s="90">
        <v>132</v>
      </c>
      <c r="I153" s="29">
        <v>4.2</v>
      </c>
      <c r="J153" s="9">
        <v>2.3449074074074074E-2</v>
      </c>
      <c r="K153" s="109">
        <v>7.0601851851851847E-4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>
      <c r="A154" s="20" t="s">
        <v>814</v>
      </c>
      <c r="B154" s="29">
        <v>62</v>
      </c>
      <c r="C154" s="29">
        <v>25</v>
      </c>
      <c r="D154" s="29">
        <v>27</v>
      </c>
      <c r="E154" s="57">
        <v>3.86</v>
      </c>
      <c r="F154" s="127" t="s">
        <v>1145</v>
      </c>
      <c r="G154" s="127" t="s">
        <v>1145</v>
      </c>
      <c r="H154" s="12">
        <v>223</v>
      </c>
      <c r="I154" s="21">
        <v>4.5</v>
      </c>
      <c r="J154" s="179">
        <v>3.2511574074074075E-2</v>
      </c>
      <c r="K154" s="113">
        <v>2.9513888888888888E-3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>
      <c r="A155" s="20" t="s">
        <v>1208</v>
      </c>
      <c r="B155" s="90" t="s">
        <v>1209</v>
      </c>
      <c r="C155" s="29" t="s">
        <v>1209</v>
      </c>
      <c r="D155" s="29" t="s">
        <v>1210</v>
      </c>
      <c r="E155" s="58">
        <v>1.57</v>
      </c>
      <c r="F155" s="87" t="s">
        <v>1211</v>
      </c>
      <c r="G155" s="21" t="s">
        <v>1159</v>
      </c>
      <c r="H155" s="21" t="s">
        <v>1212</v>
      </c>
      <c r="I155" s="21" t="s">
        <v>1213</v>
      </c>
      <c r="J155" s="12" t="s">
        <v>1214</v>
      </c>
      <c r="K155" s="21" t="s">
        <v>1215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>
      <c r="A156" s="20" t="s">
        <v>1216</v>
      </c>
      <c r="B156" s="90">
        <v>32</v>
      </c>
      <c r="C156" s="29">
        <v>19</v>
      </c>
      <c r="D156" s="29">
        <v>17</v>
      </c>
      <c r="E156" s="57">
        <v>2.4300000000000002</v>
      </c>
      <c r="F156" s="21">
        <v>72</v>
      </c>
      <c r="G156" s="87">
        <v>20</v>
      </c>
      <c r="H156" s="29">
        <v>183</v>
      </c>
      <c r="I156" s="29">
        <v>4.5</v>
      </c>
      <c r="J156" s="153">
        <v>1.7141203703703704E-2</v>
      </c>
      <c r="K156" s="109">
        <v>4.7453703703703704E-4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75">
      <c r="A157" s="20" t="s">
        <v>27</v>
      </c>
      <c r="B157" s="90">
        <v>36</v>
      </c>
      <c r="C157" s="90">
        <v>11</v>
      </c>
      <c r="D157" s="90">
        <v>35</v>
      </c>
      <c r="E157" s="58">
        <v>5</v>
      </c>
      <c r="F157" s="152" t="s">
        <v>1217</v>
      </c>
      <c r="G157" s="87">
        <v>30</v>
      </c>
      <c r="H157" s="29">
        <v>385</v>
      </c>
      <c r="I157" s="29">
        <v>4.5999999999999996</v>
      </c>
      <c r="J157" s="91">
        <v>4.2291666666666665E-2</v>
      </c>
      <c r="K157" s="154" t="s">
        <v>1218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>
      <c r="A158" s="20" t="s">
        <v>38</v>
      </c>
      <c r="B158" s="90">
        <v>33</v>
      </c>
      <c r="C158" s="90">
        <v>15</v>
      </c>
      <c r="D158" s="29">
        <v>27</v>
      </c>
      <c r="E158" s="57">
        <v>3.86</v>
      </c>
      <c r="F158" s="21">
        <v>29</v>
      </c>
      <c r="G158" s="152" t="s">
        <v>1219</v>
      </c>
      <c r="H158" s="152" t="s">
        <v>1220</v>
      </c>
      <c r="I158" s="21">
        <v>4.2</v>
      </c>
      <c r="J158" s="9">
        <v>2.0636574074074075E-2</v>
      </c>
      <c r="K158" s="109">
        <v>3.9351851851851852E-4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>
      <c r="A159" s="20" t="s">
        <v>519</v>
      </c>
      <c r="B159" s="90">
        <v>19</v>
      </c>
      <c r="C159" s="90">
        <v>9</v>
      </c>
      <c r="D159" s="90">
        <v>32</v>
      </c>
      <c r="E159" s="58">
        <v>4.57</v>
      </c>
      <c r="F159" s="21">
        <v>37</v>
      </c>
      <c r="G159" s="87">
        <v>10</v>
      </c>
      <c r="H159" s="21">
        <v>264</v>
      </c>
      <c r="I159" s="29">
        <v>4.4000000000000004</v>
      </c>
      <c r="J159" s="60">
        <v>4.6504629629629632E-2</v>
      </c>
      <c r="K159" s="109">
        <v>1.0069444444444444E-3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>
      <c r="A160" s="20" t="s">
        <v>522</v>
      </c>
      <c r="B160" s="29">
        <v>51</v>
      </c>
      <c r="C160" s="29">
        <v>28</v>
      </c>
      <c r="D160" s="29">
        <v>20</v>
      </c>
      <c r="E160" s="57">
        <v>2.86</v>
      </c>
      <c r="F160" s="21">
        <v>27</v>
      </c>
      <c r="G160" s="21">
        <v>2</v>
      </c>
      <c r="H160" s="90">
        <v>116</v>
      </c>
      <c r="I160" s="29">
        <v>4.7</v>
      </c>
      <c r="J160" s="9">
        <v>3.4907407407407408E-2</v>
      </c>
      <c r="K160" s="109">
        <v>1.0532407407407407E-3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>
      <c r="A161" s="20" t="s">
        <v>42</v>
      </c>
      <c r="B161" s="155" t="s">
        <v>1221</v>
      </c>
      <c r="C161" s="155" t="s">
        <v>1222</v>
      </c>
      <c r="D161" s="155" t="s">
        <v>1223</v>
      </c>
      <c r="E161" s="58">
        <v>5.71</v>
      </c>
      <c r="F161" s="21">
        <v>42</v>
      </c>
      <c r="G161" s="87">
        <v>16</v>
      </c>
      <c r="H161" s="115" t="s">
        <v>1224</v>
      </c>
      <c r="I161" s="29">
        <v>4.5999999999999996</v>
      </c>
      <c r="J161" s="9">
        <v>3.471064814814815E-2</v>
      </c>
      <c r="K161" s="109">
        <v>1.0185185185185184E-3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">
      <c r="A162" s="156" t="s">
        <v>15</v>
      </c>
      <c r="B162" s="157">
        <v>749</v>
      </c>
      <c r="C162" s="157">
        <v>353</v>
      </c>
      <c r="D162" s="170">
        <v>510</v>
      </c>
      <c r="E162" s="6"/>
      <c r="F162" s="170">
        <v>507</v>
      </c>
      <c r="G162" s="171">
        <v>160</v>
      </c>
      <c r="H162" s="159" t="s">
        <v>1225</v>
      </c>
      <c r="I162" s="158">
        <v>4.3899999999999997</v>
      </c>
      <c r="J162" s="180">
        <v>3.1875000000000001E-2</v>
      </c>
      <c r="K162" s="180">
        <v>1.1921296296296296E-3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">
      <c r="A163" s="156" t="s">
        <v>1174</v>
      </c>
      <c r="B163" s="177" t="s">
        <v>1226</v>
      </c>
      <c r="C163" s="177" t="s">
        <v>1227</v>
      </c>
      <c r="D163" s="165" t="s">
        <v>1228</v>
      </c>
      <c r="E163" s="45"/>
      <c r="F163" s="164">
        <v>500</v>
      </c>
      <c r="G163" s="165" t="s">
        <v>1229</v>
      </c>
      <c r="H163" s="164" t="s">
        <v>1230</v>
      </c>
      <c r="I163" s="166">
        <v>45781</v>
      </c>
      <c r="J163" s="167">
        <v>4.1666666666666664E-2</v>
      </c>
      <c r="K163" s="167">
        <v>2.0717592592592593E-3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">
      <c r="A164" s="156" t="s">
        <v>1177</v>
      </c>
      <c r="B164" s="164">
        <v>51</v>
      </c>
      <c r="C164" s="165">
        <v>17</v>
      </c>
      <c r="D164" s="165">
        <v>30</v>
      </c>
      <c r="E164" s="7"/>
      <c r="F164" s="164">
        <v>22</v>
      </c>
      <c r="G164" s="165" t="s">
        <v>1231</v>
      </c>
      <c r="H164" s="164">
        <v>147</v>
      </c>
      <c r="I164" s="165" t="s">
        <v>1203</v>
      </c>
      <c r="J164" s="167">
        <v>3.471064814814815E-2</v>
      </c>
      <c r="K164" s="167">
        <v>1.6203703703703703E-3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26.25">
      <c r="A168" s="4" t="s">
        <v>1651</v>
      </c>
      <c r="B168" s="172"/>
      <c r="C168" s="172"/>
      <c r="D168" s="39"/>
      <c r="E168" s="39"/>
      <c r="F168" s="39"/>
      <c r="G168" s="3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>
      <c r="A169" s="16" t="s">
        <v>77</v>
      </c>
      <c r="B169" s="164" t="s">
        <v>1138</v>
      </c>
      <c r="C169" s="164" t="s">
        <v>1139</v>
      </c>
      <c r="D169" s="165" t="s">
        <v>32</v>
      </c>
      <c r="E169" s="165" t="s">
        <v>33</v>
      </c>
      <c r="F169" s="165" t="s">
        <v>34</v>
      </c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>
      <c r="A170" s="20" t="s">
        <v>30</v>
      </c>
      <c r="B170" s="25">
        <v>7</v>
      </c>
      <c r="C170" s="25">
        <v>0</v>
      </c>
      <c r="D170" s="26">
        <v>1</v>
      </c>
      <c r="E170" s="25">
        <v>83</v>
      </c>
      <c r="F170" s="26">
        <v>18</v>
      </c>
      <c r="G170" s="3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>
      <c r="A171" s="20" t="s">
        <v>28</v>
      </c>
      <c r="B171" s="21">
        <v>6</v>
      </c>
      <c r="C171" s="21">
        <v>0</v>
      </c>
      <c r="D171" s="21">
        <v>0</v>
      </c>
      <c r="E171" s="12">
        <v>100</v>
      </c>
      <c r="F171" s="21">
        <v>5</v>
      </c>
      <c r="G171" s="6"/>
      <c r="H171" s="6"/>
      <c r="I171" s="6"/>
      <c r="J171" s="6"/>
      <c r="K171" s="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>
      <c r="A172" s="20" t="s">
        <v>22</v>
      </c>
      <c r="B172" s="26">
        <v>0</v>
      </c>
      <c r="C172" s="26">
        <v>95</v>
      </c>
      <c r="D172" s="26">
        <v>76</v>
      </c>
      <c r="E172" s="25">
        <v>13</v>
      </c>
      <c r="F172" s="26">
        <v>15</v>
      </c>
      <c r="G172" s="39"/>
      <c r="H172" s="39"/>
      <c r="I172" s="39"/>
      <c r="J172" s="39"/>
      <c r="K172" s="3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>
      <c r="A173" s="20" t="s">
        <v>25</v>
      </c>
      <c r="B173" s="21">
        <v>2</v>
      </c>
      <c r="C173" s="21">
        <v>0</v>
      </c>
      <c r="D173" s="21">
        <v>0</v>
      </c>
      <c r="E173" s="12">
        <v>0</v>
      </c>
      <c r="F173" s="21">
        <v>0</v>
      </c>
      <c r="G173" s="6"/>
      <c r="H173" s="6"/>
      <c r="I173" s="6"/>
      <c r="J173" s="6"/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>
      <c r="A174" s="20" t="s">
        <v>18</v>
      </c>
      <c r="B174" s="26">
        <v>0</v>
      </c>
      <c r="C174" s="26">
        <v>0</v>
      </c>
      <c r="D174" s="26">
        <v>0</v>
      </c>
      <c r="E174" s="25">
        <v>0</v>
      </c>
      <c r="F174" s="26">
        <v>0</v>
      </c>
      <c r="G174" s="39"/>
      <c r="H174" s="39"/>
      <c r="I174" s="39"/>
      <c r="J174" s="39"/>
      <c r="K174" s="3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>
      <c r="A175" s="20" t="s">
        <v>12</v>
      </c>
      <c r="B175" s="21">
        <v>6</v>
      </c>
      <c r="C175" s="21">
        <v>0</v>
      </c>
      <c r="D175" s="21">
        <v>5</v>
      </c>
      <c r="E175" s="12">
        <v>90</v>
      </c>
      <c r="F175" s="21">
        <v>4</v>
      </c>
      <c r="G175" s="6"/>
      <c r="H175" s="6"/>
      <c r="I175" s="6"/>
      <c r="J175" s="6"/>
      <c r="K175" s="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>
      <c r="A176" s="16" t="s">
        <v>80</v>
      </c>
      <c r="B176" s="17" t="s">
        <v>1140</v>
      </c>
      <c r="C176" s="17" t="s">
        <v>1141</v>
      </c>
      <c r="D176" s="101" t="s">
        <v>32</v>
      </c>
      <c r="E176" s="18" t="s">
        <v>1142</v>
      </c>
      <c r="F176" s="240" t="s">
        <v>1143</v>
      </c>
      <c r="G176" s="241"/>
      <c r="H176" s="17" t="s">
        <v>505</v>
      </c>
      <c r="I176" s="17" t="s">
        <v>31</v>
      </c>
      <c r="J176" s="18" t="s">
        <v>1144</v>
      </c>
      <c r="K176" s="81" t="s">
        <v>35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>
      <c r="A177" s="20" t="s">
        <v>21</v>
      </c>
      <c r="B177" s="21">
        <v>78</v>
      </c>
      <c r="C177" s="21">
        <v>58</v>
      </c>
      <c r="D177" s="21">
        <v>23</v>
      </c>
      <c r="E177" s="57">
        <v>3.29</v>
      </c>
      <c r="F177" s="21">
        <v>36</v>
      </c>
      <c r="G177" s="88">
        <v>5</v>
      </c>
      <c r="H177" s="12">
        <v>135</v>
      </c>
      <c r="I177" s="107">
        <v>46146</v>
      </c>
      <c r="J177" s="60">
        <v>5.1782407407407409E-2</v>
      </c>
      <c r="K177" s="109">
        <v>1.9791666666666668E-3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>
      <c r="A178" s="20" t="s">
        <v>1232</v>
      </c>
      <c r="B178" s="29" t="s">
        <v>8</v>
      </c>
      <c r="C178" s="29" t="s">
        <v>8</v>
      </c>
      <c r="D178" s="29" t="s">
        <v>8</v>
      </c>
      <c r="E178" s="21" t="s">
        <v>8</v>
      </c>
      <c r="F178" s="29" t="s">
        <v>8</v>
      </c>
      <c r="G178" s="29" t="s">
        <v>8</v>
      </c>
      <c r="H178" s="29" t="s">
        <v>8</v>
      </c>
      <c r="I178" s="29" t="s">
        <v>8</v>
      </c>
      <c r="J178" s="29" t="s">
        <v>8</v>
      </c>
      <c r="K178" s="29" t="s">
        <v>8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>
      <c r="A179" s="20" t="s">
        <v>41</v>
      </c>
      <c r="B179" s="29">
        <v>22</v>
      </c>
      <c r="C179" s="29">
        <v>31</v>
      </c>
      <c r="D179" s="12">
        <v>12</v>
      </c>
      <c r="E179" s="57">
        <v>1.71</v>
      </c>
      <c r="F179" s="21">
        <v>17</v>
      </c>
      <c r="G179" s="88">
        <v>5</v>
      </c>
      <c r="H179" s="148">
        <v>67</v>
      </c>
      <c r="I179" s="107">
        <v>46085</v>
      </c>
      <c r="J179" s="60">
        <v>4.7789351851851854E-2</v>
      </c>
      <c r="K179" s="113">
        <v>2.9745370370370373E-3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>
      <c r="A180" s="20" t="s">
        <v>135</v>
      </c>
      <c r="B180" s="90">
        <v>21</v>
      </c>
      <c r="C180" s="90">
        <v>2</v>
      </c>
      <c r="D180" s="21">
        <v>10</v>
      </c>
      <c r="E180" s="58">
        <v>1.43</v>
      </c>
      <c r="F180" s="21">
        <v>14</v>
      </c>
      <c r="G180" s="12">
        <v>1</v>
      </c>
      <c r="H180" s="148">
        <v>46</v>
      </c>
      <c r="I180" s="29">
        <v>5</v>
      </c>
      <c r="J180" s="9">
        <v>3.7951388888888889E-2</v>
      </c>
      <c r="K180" s="109">
        <v>1.6666666666666668E-3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>
      <c r="A181" s="20" t="s">
        <v>796</v>
      </c>
      <c r="B181" s="29">
        <v>46</v>
      </c>
      <c r="C181" s="29">
        <v>20</v>
      </c>
      <c r="D181" s="12">
        <v>10</v>
      </c>
      <c r="E181" s="57">
        <v>1.43</v>
      </c>
      <c r="F181" s="127" t="s">
        <v>1145</v>
      </c>
      <c r="G181" s="127" t="s">
        <v>1145</v>
      </c>
      <c r="H181" s="115" t="s">
        <v>1233</v>
      </c>
      <c r="I181" s="107">
        <v>46177</v>
      </c>
      <c r="J181" s="60">
        <v>5.6412037037037038E-2</v>
      </c>
      <c r="K181" s="152" t="s">
        <v>1234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75">
      <c r="A182" s="20" t="s">
        <v>209</v>
      </c>
      <c r="B182" s="103">
        <v>48</v>
      </c>
      <c r="C182" s="103">
        <v>49</v>
      </c>
      <c r="D182" s="21">
        <v>21</v>
      </c>
      <c r="E182" s="58">
        <v>3</v>
      </c>
      <c r="F182" s="21">
        <v>57</v>
      </c>
      <c r="G182" s="87">
        <v>7</v>
      </c>
      <c r="H182" s="103">
        <v>195</v>
      </c>
      <c r="I182" s="107">
        <v>46116</v>
      </c>
      <c r="J182" s="9">
        <v>3.7557870370370373E-2</v>
      </c>
      <c r="K182" s="109">
        <v>9.3749999999999997E-4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75">
      <c r="A183" s="20" t="s">
        <v>86</v>
      </c>
      <c r="B183" s="90">
        <v>6</v>
      </c>
      <c r="C183" s="90">
        <v>4</v>
      </c>
      <c r="D183" s="21">
        <v>7</v>
      </c>
      <c r="E183" s="57">
        <v>1</v>
      </c>
      <c r="F183" s="127" t="s">
        <v>1145</v>
      </c>
      <c r="G183" s="127" t="s">
        <v>1145</v>
      </c>
      <c r="H183" s="90">
        <v>69</v>
      </c>
      <c r="I183" s="107">
        <v>46207</v>
      </c>
      <c r="J183" s="9">
        <v>3.8807870370370368E-2</v>
      </c>
      <c r="K183" s="109">
        <v>1.2268518518518518E-3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2.75">
      <c r="A184" s="20" t="s">
        <v>87</v>
      </c>
      <c r="B184" s="103">
        <v>26</v>
      </c>
      <c r="C184" s="151">
        <v>7</v>
      </c>
      <c r="D184" s="103">
        <v>21</v>
      </c>
      <c r="E184" s="58">
        <v>3</v>
      </c>
      <c r="F184" s="21">
        <v>40</v>
      </c>
      <c r="G184" s="87">
        <v>11</v>
      </c>
      <c r="H184" s="103">
        <v>134</v>
      </c>
      <c r="I184" s="107">
        <v>46116</v>
      </c>
      <c r="J184" s="9">
        <v>3.8553240740740742E-2</v>
      </c>
      <c r="K184" s="109">
        <v>1.0879629629629629E-3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75">
      <c r="A185" s="20" t="s">
        <v>23</v>
      </c>
      <c r="B185" s="29">
        <v>0</v>
      </c>
      <c r="C185" s="90">
        <v>8</v>
      </c>
      <c r="D185" s="29">
        <v>0</v>
      </c>
      <c r="E185" s="57">
        <v>0</v>
      </c>
      <c r="F185" s="21">
        <v>0</v>
      </c>
      <c r="G185" s="21">
        <v>0</v>
      </c>
      <c r="H185" s="87">
        <v>30</v>
      </c>
      <c r="I185" s="178">
        <v>5</v>
      </c>
      <c r="J185" s="109">
        <v>1.0289351851851852E-2</v>
      </c>
      <c r="K185" s="109">
        <v>2.3148148148148147E-5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75">
      <c r="A186" s="20" t="s">
        <v>39</v>
      </c>
      <c r="B186" s="29">
        <v>32</v>
      </c>
      <c r="C186" s="29">
        <v>22</v>
      </c>
      <c r="D186" s="29">
        <v>22</v>
      </c>
      <c r="E186" s="58">
        <v>3.14</v>
      </c>
      <c r="F186" s="21">
        <v>66</v>
      </c>
      <c r="G186" s="21">
        <v>2</v>
      </c>
      <c r="H186" s="29">
        <v>195</v>
      </c>
      <c r="I186" s="107">
        <v>46146</v>
      </c>
      <c r="J186" s="9">
        <v>3.6238425925925924E-2</v>
      </c>
      <c r="K186" s="109">
        <v>2.5694444444444445E-3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75">
      <c r="A187" s="20" t="s">
        <v>512</v>
      </c>
      <c r="B187" s="29">
        <v>29</v>
      </c>
      <c r="C187" s="90">
        <v>3</v>
      </c>
      <c r="D187" s="29">
        <v>12</v>
      </c>
      <c r="E187" s="57">
        <v>1.71</v>
      </c>
      <c r="F187" s="87">
        <v>3</v>
      </c>
      <c r="G187" s="87">
        <v>4</v>
      </c>
      <c r="H187" s="29">
        <v>187</v>
      </c>
      <c r="I187" s="107">
        <v>46085</v>
      </c>
      <c r="J187" s="9">
        <v>2.148148148148148E-2</v>
      </c>
      <c r="K187" s="109">
        <v>2.3032407407407407E-3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75">
      <c r="A188" s="20" t="s">
        <v>1207</v>
      </c>
      <c r="B188" s="29">
        <v>47</v>
      </c>
      <c r="C188" s="90">
        <v>5</v>
      </c>
      <c r="D188" s="29">
        <v>9</v>
      </c>
      <c r="E188" s="58">
        <v>1.29</v>
      </c>
      <c r="F188" s="21">
        <v>35</v>
      </c>
      <c r="G188" s="12">
        <v>2</v>
      </c>
      <c r="H188" s="104">
        <v>116</v>
      </c>
      <c r="I188" s="149">
        <v>46237</v>
      </c>
      <c r="J188" s="9">
        <v>4.1851851851851848E-2</v>
      </c>
      <c r="K188" s="109">
        <v>2.7546296296296294E-3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75">
      <c r="A189" s="20" t="s">
        <v>93</v>
      </c>
      <c r="B189" s="90">
        <v>7</v>
      </c>
      <c r="C189" s="90">
        <v>2</v>
      </c>
      <c r="D189" s="29">
        <v>3</v>
      </c>
      <c r="E189" s="57">
        <v>0.43</v>
      </c>
      <c r="F189" s="21">
        <v>23</v>
      </c>
      <c r="G189" s="21">
        <v>3</v>
      </c>
      <c r="H189" s="29">
        <v>104</v>
      </c>
      <c r="I189" s="29">
        <v>4</v>
      </c>
      <c r="J189" s="9">
        <v>2.0729166666666667E-2</v>
      </c>
      <c r="K189" s="109">
        <v>3.8194444444444446E-4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75">
      <c r="A190" s="20" t="s">
        <v>515</v>
      </c>
      <c r="B190" s="29">
        <v>1</v>
      </c>
      <c r="C190" s="29">
        <v>0</v>
      </c>
      <c r="D190" s="29">
        <v>0</v>
      </c>
      <c r="E190" s="58">
        <v>0</v>
      </c>
      <c r="F190" s="21">
        <v>0</v>
      </c>
      <c r="G190" s="21">
        <v>0</v>
      </c>
      <c r="H190" s="90">
        <v>29</v>
      </c>
      <c r="I190" s="29" t="s">
        <v>8</v>
      </c>
      <c r="J190" s="9">
        <v>3.4016203703703701E-2</v>
      </c>
      <c r="K190" s="109">
        <v>4.1666666666666669E-4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75">
      <c r="A191" s="20" t="s">
        <v>814</v>
      </c>
      <c r="B191" s="29">
        <v>34</v>
      </c>
      <c r="C191" s="29">
        <v>33</v>
      </c>
      <c r="D191" s="29">
        <v>7</v>
      </c>
      <c r="E191" s="57">
        <v>1</v>
      </c>
      <c r="F191" s="127" t="s">
        <v>1145</v>
      </c>
      <c r="G191" s="127" t="s">
        <v>1145</v>
      </c>
      <c r="H191" s="12">
        <v>212</v>
      </c>
      <c r="I191" s="82">
        <v>46085</v>
      </c>
      <c r="J191" s="179">
        <v>3.6134259259259262E-2</v>
      </c>
      <c r="K191" s="109">
        <v>2.488425925925926E-3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75">
      <c r="A192" s="20" t="s">
        <v>1235</v>
      </c>
      <c r="B192" s="90">
        <v>12</v>
      </c>
      <c r="C192" s="29">
        <v>6</v>
      </c>
      <c r="D192" s="29">
        <v>9</v>
      </c>
      <c r="E192" s="58">
        <v>1.29</v>
      </c>
      <c r="F192" s="21">
        <v>31</v>
      </c>
      <c r="G192" s="87">
        <v>4</v>
      </c>
      <c r="H192" s="21">
        <v>99</v>
      </c>
      <c r="I192" s="82">
        <v>46026</v>
      </c>
      <c r="J192" s="9">
        <v>2.7604166666666666E-2</v>
      </c>
      <c r="K192" s="109">
        <v>6.4814814814814813E-4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75">
      <c r="A193" s="20" t="s">
        <v>1216</v>
      </c>
      <c r="B193" s="90">
        <v>18</v>
      </c>
      <c r="C193" s="29">
        <v>26</v>
      </c>
      <c r="D193" s="29">
        <v>11</v>
      </c>
      <c r="E193" s="57">
        <v>1.57</v>
      </c>
      <c r="F193" s="21">
        <v>25</v>
      </c>
      <c r="G193" s="87">
        <v>8</v>
      </c>
      <c r="H193" s="29">
        <v>175</v>
      </c>
      <c r="I193" s="107">
        <v>46085</v>
      </c>
      <c r="J193" s="153">
        <v>2.7349537037037037E-2</v>
      </c>
      <c r="K193" s="109">
        <v>2.0486111111111113E-3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75">
      <c r="A194" s="20" t="s">
        <v>27</v>
      </c>
      <c r="B194" s="29">
        <v>53</v>
      </c>
      <c r="C194" s="29">
        <v>13</v>
      </c>
      <c r="D194" s="29">
        <v>9</v>
      </c>
      <c r="E194" s="58">
        <v>1.29</v>
      </c>
      <c r="F194" s="152" t="s">
        <v>1236</v>
      </c>
      <c r="G194" s="87">
        <v>6</v>
      </c>
      <c r="H194" s="29">
        <v>213</v>
      </c>
      <c r="I194" s="107">
        <v>46026</v>
      </c>
      <c r="J194" s="91">
        <v>4.4062499999999998E-2</v>
      </c>
      <c r="K194" s="154" t="s">
        <v>1237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75">
      <c r="A195" s="20" t="s">
        <v>38</v>
      </c>
      <c r="B195" s="29">
        <v>20</v>
      </c>
      <c r="C195" s="29">
        <v>19</v>
      </c>
      <c r="D195" s="29">
        <v>7</v>
      </c>
      <c r="E195" s="57">
        <v>1</v>
      </c>
      <c r="F195" s="21">
        <v>59</v>
      </c>
      <c r="G195" s="154" t="s">
        <v>1238</v>
      </c>
      <c r="H195" s="152" t="s">
        <v>1233</v>
      </c>
      <c r="I195" s="112">
        <v>46206</v>
      </c>
      <c r="J195" s="9">
        <v>1.7824074074074076E-2</v>
      </c>
      <c r="K195" s="109">
        <v>5.4398148148148144E-4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75">
      <c r="A196" s="20" t="s">
        <v>519</v>
      </c>
      <c r="B196" s="90">
        <v>12</v>
      </c>
      <c r="C196" s="90">
        <v>4</v>
      </c>
      <c r="D196" s="29">
        <v>14</v>
      </c>
      <c r="E196" s="58">
        <v>2</v>
      </c>
      <c r="F196" s="21">
        <v>17</v>
      </c>
      <c r="G196" s="21">
        <v>3</v>
      </c>
      <c r="H196" s="21">
        <v>104</v>
      </c>
      <c r="I196" s="107">
        <v>46177</v>
      </c>
      <c r="J196" s="60">
        <v>5.9340277777777777E-2</v>
      </c>
      <c r="K196" s="113">
        <v>4.4675925925925924E-3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75">
      <c r="A197" s="20" t="s">
        <v>522</v>
      </c>
      <c r="B197" s="29">
        <v>46</v>
      </c>
      <c r="C197" s="29">
        <v>20</v>
      </c>
      <c r="D197" s="29">
        <v>12</v>
      </c>
      <c r="E197" s="57">
        <v>1.71</v>
      </c>
      <c r="F197" s="21">
        <v>20</v>
      </c>
      <c r="G197" s="21">
        <v>2</v>
      </c>
      <c r="H197" s="29">
        <v>91</v>
      </c>
      <c r="I197" s="149">
        <v>46145</v>
      </c>
      <c r="J197" s="60">
        <v>6.3263888888888883E-2</v>
      </c>
      <c r="K197" s="109">
        <v>2.476851851851852E-3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75">
      <c r="A198" s="20" t="s">
        <v>42</v>
      </c>
      <c r="B198" s="115" t="s">
        <v>1239</v>
      </c>
      <c r="C198" s="115" t="s">
        <v>1240</v>
      </c>
      <c r="D198" s="115" t="s">
        <v>1197</v>
      </c>
      <c r="E198" s="58">
        <v>3.57</v>
      </c>
      <c r="F198" s="21">
        <v>27</v>
      </c>
      <c r="G198" s="87">
        <v>9</v>
      </c>
      <c r="H198" s="115" t="s">
        <v>1241</v>
      </c>
      <c r="I198" s="107">
        <v>46146</v>
      </c>
      <c r="J198" s="60">
        <v>4.5069444444444447E-2</v>
      </c>
      <c r="K198" s="109">
        <v>1.7708333333333332E-3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">
      <c r="A199" s="156" t="s">
        <v>15</v>
      </c>
      <c r="B199" s="170">
        <v>558</v>
      </c>
      <c r="C199" s="170">
        <v>332</v>
      </c>
      <c r="D199" s="170">
        <v>278</v>
      </c>
      <c r="E199" s="84"/>
      <c r="F199" s="170">
        <v>470</v>
      </c>
      <c r="G199" s="158">
        <v>72</v>
      </c>
      <c r="H199" s="159" t="s">
        <v>1242</v>
      </c>
      <c r="I199" s="158" t="s">
        <v>1099</v>
      </c>
      <c r="J199" s="180">
        <v>3.7812499999999999E-2</v>
      </c>
      <c r="K199" s="180">
        <v>1.724537037037037E-3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">
      <c r="A200" s="156" t="s">
        <v>1174</v>
      </c>
      <c r="B200" s="177" t="s">
        <v>1243</v>
      </c>
      <c r="C200" s="177" t="s">
        <v>1244</v>
      </c>
      <c r="D200" s="165" t="s">
        <v>1245</v>
      </c>
      <c r="E200" s="45"/>
      <c r="F200" s="164">
        <v>215</v>
      </c>
      <c r="G200" s="165" t="s">
        <v>1246</v>
      </c>
      <c r="H200" s="164">
        <v>1900</v>
      </c>
      <c r="I200" s="166">
        <v>45781</v>
      </c>
      <c r="J200" s="167">
        <v>4.1666666666666664E-2</v>
      </c>
      <c r="K200" s="167">
        <v>2.0717592592592593E-3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">
      <c r="A201" s="156" t="s">
        <v>1177</v>
      </c>
      <c r="B201" s="164">
        <v>22</v>
      </c>
      <c r="C201" s="165">
        <v>12</v>
      </c>
      <c r="D201" s="165">
        <v>12</v>
      </c>
      <c r="E201" s="7"/>
      <c r="F201" s="164">
        <v>9</v>
      </c>
      <c r="G201" s="165" t="s">
        <v>1247</v>
      </c>
      <c r="H201" s="164">
        <v>86</v>
      </c>
      <c r="I201" s="165" t="s">
        <v>1203</v>
      </c>
      <c r="J201" s="167">
        <v>3.471064814814815E-2</v>
      </c>
      <c r="K201" s="167">
        <v>1.6203703703703703E-3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75"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75"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75"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75"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75"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75"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75"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75"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75"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75"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75"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75"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75"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75"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75"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75"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</sheetData>
  <mergeCells count="5">
    <mergeCell ref="F30:G30"/>
    <mergeCell ref="F64:G64"/>
    <mergeCell ref="F101:G101"/>
    <mergeCell ref="F139:G139"/>
    <mergeCell ref="F176:G176"/>
  </mergeCells>
  <conditionalFormatting sqref="H2:H8 J2:K8">
    <cfRule type="notContainsBlanks" dxfId="4" priority="1">
      <formula>LEN(TRIM(H2))&gt;0</formula>
    </cfRule>
  </conditionalFormatting>
  <pageMargins left="0.511811024" right="0.511811024" top="0.78740157499999996" bottom="0.78740157499999996" header="0.31496062000000002" footer="0.31496062000000002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E184"/>
  <sheetViews>
    <sheetView topLeftCell="A167" zoomScale="70" zoomScaleNormal="70" workbookViewId="0">
      <selection activeCell="A187" sqref="A187"/>
    </sheetView>
  </sheetViews>
  <sheetFormatPr defaultColWidth="12.5703125" defaultRowHeight="15.75" customHeight="1"/>
  <cols>
    <col min="1" max="1" width="72.7109375" customWidth="1"/>
    <col min="2" max="2" width="15.28515625" customWidth="1"/>
    <col min="3" max="3" width="16.42578125" customWidth="1"/>
    <col min="4" max="4" width="15.28515625" customWidth="1"/>
    <col min="5" max="5" width="14.7109375" customWidth="1"/>
    <col min="6" max="6" width="15" customWidth="1"/>
    <col min="7" max="7" width="14.140625" customWidth="1"/>
    <col min="8" max="8" width="15.42578125" customWidth="1"/>
    <col min="9" max="9" width="15.7109375" customWidth="1"/>
    <col min="10" max="10" width="14.7109375" customWidth="1"/>
    <col min="11" max="11" width="16" customWidth="1"/>
    <col min="12" max="12" width="13.28515625" customWidth="1"/>
    <col min="13" max="13" width="28" customWidth="1"/>
    <col min="14" max="14" width="15" customWidth="1"/>
    <col min="15" max="15" width="14" customWidth="1"/>
    <col min="16" max="16" width="14.85546875" customWidth="1"/>
  </cols>
  <sheetData>
    <row r="1" spans="1:25" ht="26.25">
      <c r="A1" s="4" t="s">
        <v>1248</v>
      </c>
      <c r="B1" s="5" t="s">
        <v>1086</v>
      </c>
      <c r="C1" s="5" t="s">
        <v>1087</v>
      </c>
      <c r="D1" s="5" t="s">
        <v>1088</v>
      </c>
      <c r="E1" s="5" t="s">
        <v>1089</v>
      </c>
      <c r="F1" s="5" t="s">
        <v>1091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7.25" customHeight="1">
      <c r="A2" s="8" t="s">
        <v>1249</v>
      </c>
      <c r="B2" s="46">
        <v>4.6018518518518521E-2</v>
      </c>
      <c r="C2" s="46">
        <v>4.0520833333333332E-2</v>
      </c>
      <c r="D2" s="46">
        <v>5.5381944444444442E-2</v>
      </c>
      <c r="E2" s="46">
        <v>4.3460648148148151E-2</v>
      </c>
      <c r="F2" s="46">
        <v>4.6342592592592595E-2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1250</v>
      </c>
      <c r="B3" s="46">
        <v>4.8032407407407407E-3</v>
      </c>
      <c r="C3" s="46">
        <v>5.5092592592592589E-3</v>
      </c>
      <c r="D3" s="46">
        <v>3.3414351851851855E-2</v>
      </c>
      <c r="E3" s="46">
        <v>5.7083333333333333E-2</v>
      </c>
      <c r="F3" s="46">
        <v>2.5208333333333333E-2</v>
      </c>
      <c r="H3" s="7"/>
      <c r="I3" s="7"/>
      <c r="J3" s="7"/>
      <c r="K3" s="7"/>
      <c r="L3" s="7"/>
      <c r="M3" s="7"/>
      <c r="N3" s="7"/>
      <c r="O3" s="7"/>
      <c r="P3" s="7"/>
      <c r="Q3" s="47" t="s">
        <v>47</v>
      </c>
      <c r="R3" s="7" t="s">
        <v>48</v>
      </c>
      <c r="S3" s="7"/>
      <c r="T3" s="7"/>
      <c r="U3" s="7"/>
      <c r="V3" s="7"/>
      <c r="W3" s="7"/>
      <c r="X3" s="7"/>
      <c r="Y3" s="7"/>
    </row>
    <row r="4" spans="1:25">
      <c r="A4" s="8" t="s">
        <v>1251</v>
      </c>
      <c r="B4" s="46">
        <v>3.3217592592592591E-3</v>
      </c>
      <c r="C4" s="46">
        <v>2.7083333333333334E-3</v>
      </c>
      <c r="D4" s="46">
        <v>6.2384259259259259E-3</v>
      </c>
      <c r="E4" s="46">
        <v>2.0601851851851853E-3</v>
      </c>
      <c r="F4" s="46">
        <v>3.5879629629629629E-3</v>
      </c>
      <c r="H4" s="7"/>
      <c r="I4" s="7"/>
      <c r="J4" s="7"/>
      <c r="K4" s="7"/>
      <c r="L4" s="7"/>
      <c r="M4" s="7"/>
      <c r="N4" s="7"/>
      <c r="O4" s="7"/>
      <c r="P4" s="7"/>
      <c r="Q4" s="48" t="s">
        <v>50</v>
      </c>
      <c r="R4" s="7" t="s">
        <v>51</v>
      </c>
      <c r="S4" s="7"/>
      <c r="T4" s="7"/>
      <c r="U4" s="7"/>
      <c r="V4" s="7"/>
      <c r="W4" s="7"/>
      <c r="X4" s="7"/>
      <c r="Y4" s="7"/>
    </row>
    <row r="5" spans="1:25">
      <c r="A5" s="8" t="s">
        <v>1252</v>
      </c>
      <c r="B5" s="46">
        <v>2.650462962962963E-3</v>
      </c>
      <c r="C5" s="46">
        <v>2.8356481481481483E-3</v>
      </c>
      <c r="D5" s="46">
        <v>3.414351851851852E-3</v>
      </c>
      <c r="E5" s="46">
        <v>2.9282407407407408E-3</v>
      </c>
      <c r="F5" s="46">
        <v>2.9629629629629628E-3</v>
      </c>
      <c r="H5" s="7"/>
      <c r="I5" s="7"/>
      <c r="J5" s="7"/>
      <c r="K5" s="7"/>
      <c r="L5" s="7"/>
      <c r="M5" s="7"/>
      <c r="N5" s="7"/>
      <c r="O5" s="7"/>
      <c r="P5" s="7"/>
      <c r="Q5" s="49" t="s">
        <v>53</v>
      </c>
      <c r="R5" s="7" t="s">
        <v>54</v>
      </c>
      <c r="S5" s="7"/>
      <c r="T5" s="7"/>
      <c r="U5" s="7"/>
      <c r="V5" s="7"/>
      <c r="W5" s="7"/>
      <c r="X5" s="7"/>
      <c r="Y5" s="7"/>
    </row>
    <row r="6" spans="1:25">
      <c r="A6" s="8" t="s">
        <v>1253</v>
      </c>
      <c r="B6" s="51" t="s">
        <v>1099</v>
      </c>
      <c r="C6" s="51">
        <v>4.29</v>
      </c>
      <c r="D6" s="51">
        <v>4.3099999999999996</v>
      </c>
      <c r="E6" s="51" t="s">
        <v>1254</v>
      </c>
      <c r="F6" s="51" t="s">
        <v>1255</v>
      </c>
      <c r="H6" s="7"/>
      <c r="I6" s="7"/>
      <c r="J6" s="7"/>
      <c r="K6" s="7"/>
      <c r="L6" s="7"/>
      <c r="M6" s="7"/>
      <c r="N6" s="7"/>
      <c r="O6" s="7"/>
      <c r="P6" s="7"/>
      <c r="Q6" s="52" t="s">
        <v>56</v>
      </c>
      <c r="R6" s="7" t="s">
        <v>57</v>
      </c>
      <c r="S6" s="7"/>
      <c r="T6" s="7"/>
      <c r="U6" s="7"/>
      <c r="V6" s="7"/>
      <c r="W6" s="7"/>
      <c r="X6" s="7"/>
      <c r="Y6" s="7"/>
    </row>
    <row r="7" spans="1:25">
      <c r="A7" s="8" t="s">
        <v>1256</v>
      </c>
      <c r="B7" s="53">
        <v>0.99</v>
      </c>
      <c r="C7" s="53">
        <v>0.98</v>
      </c>
      <c r="D7" s="53">
        <v>0.97</v>
      </c>
      <c r="E7" s="53">
        <v>0.95</v>
      </c>
      <c r="F7" s="53">
        <v>0.97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8" t="s">
        <v>1257</v>
      </c>
      <c r="B8" s="54">
        <v>1226</v>
      </c>
      <c r="C8" s="54">
        <v>838</v>
      </c>
      <c r="D8" s="54">
        <v>874</v>
      </c>
      <c r="E8" s="54">
        <v>906</v>
      </c>
      <c r="F8" s="55" t="s">
        <v>1258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8" t="s">
        <v>1259</v>
      </c>
      <c r="B9" s="51" t="s">
        <v>1260</v>
      </c>
      <c r="C9" s="53">
        <v>0.99</v>
      </c>
      <c r="D9" s="53">
        <v>0.98</v>
      </c>
      <c r="E9" s="53">
        <v>0.96</v>
      </c>
      <c r="F9" s="53">
        <v>0.98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1261</v>
      </c>
      <c r="B10" s="54">
        <v>1097</v>
      </c>
      <c r="C10" s="54">
        <v>728</v>
      </c>
      <c r="D10" s="54">
        <v>812</v>
      </c>
      <c r="E10" s="54">
        <v>730</v>
      </c>
      <c r="F10" s="55" t="s">
        <v>1262</v>
      </c>
      <c r="H10" s="7"/>
      <c r="I10" s="7"/>
      <c r="J10" s="7"/>
      <c r="K10" s="7"/>
      <c r="L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1263</v>
      </c>
      <c r="B11" s="55" t="s">
        <v>1264</v>
      </c>
      <c r="C11" s="55" t="s">
        <v>1265</v>
      </c>
      <c r="D11" s="55" t="s">
        <v>1266</v>
      </c>
      <c r="E11" s="55" t="s">
        <v>1267</v>
      </c>
      <c r="F11" s="55" t="s">
        <v>1268</v>
      </c>
      <c r="H11" s="7"/>
      <c r="I11" s="7"/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5">
      <c r="A12" s="8" t="s">
        <v>1269</v>
      </c>
      <c r="B12" s="55" t="s">
        <v>1270</v>
      </c>
      <c r="C12" s="55" t="s">
        <v>1271</v>
      </c>
      <c r="D12" s="55" t="s">
        <v>1272</v>
      </c>
      <c r="E12" s="55" t="s">
        <v>1273</v>
      </c>
      <c r="F12" s="55" t="s">
        <v>1274</v>
      </c>
      <c r="H12" s="7"/>
      <c r="I12" s="7"/>
      <c r="J12" s="7"/>
      <c r="K12" s="7"/>
      <c r="L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5">
      <c r="A13" s="8" t="s">
        <v>1275</v>
      </c>
      <c r="B13" s="55" t="s">
        <v>1276</v>
      </c>
      <c r="C13" s="55" t="s">
        <v>1277</v>
      </c>
      <c r="D13" s="55" t="s">
        <v>1169</v>
      </c>
      <c r="E13" s="55" t="s">
        <v>1124</v>
      </c>
      <c r="F13" s="54">
        <v>397</v>
      </c>
      <c r="H13" s="7"/>
      <c r="I13" s="7"/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5">
      <c r="A14" s="8" t="s">
        <v>1278</v>
      </c>
      <c r="B14" s="55" t="s">
        <v>1279</v>
      </c>
      <c r="C14" s="55" t="s">
        <v>1128</v>
      </c>
      <c r="D14" s="55" t="s">
        <v>1280</v>
      </c>
      <c r="E14" s="53">
        <v>0.98619999999999997</v>
      </c>
      <c r="F14" s="53">
        <v>0.99</v>
      </c>
      <c r="H14" s="7"/>
      <c r="I14" s="7"/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>
      <c r="A15" s="8" t="s">
        <v>74</v>
      </c>
      <c r="B15" s="56">
        <v>0.05</v>
      </c>
      <c r="C15" s="56">
        <v>5.1700000000000003E-2</v>
      </c>
      <c r="D15" s="56">
        <v>4.7899999999999998E-2</v>
      </c>
      <c r="E15" s="181">
        <v>5.2900000000000003E-2</v>
      </c>
      <c r="F15" s="56">
        <v>5.0599999999999999E-2</v>
      </c>
      <c r="H15" s="7"/>
      <c r="I15" s="7"/>
      <c r="J15" s="7"/>
      <c r="K15" s="7"/>
      <c r="L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8" t="s">
        <v>1281</v>
      </c>
      <c r="B16" s="55" t="s">
        <v>1282</v>
      </c>
      <c r="C16" s="55" t="s">
        <v>1283</v>
      </c>
      <c r="D16" s="55" t="s">
        <v>1284</v>
      </c>
      <c r="E16" s="55" t="s">
        <v>1285</v>
      </c>
      <c r="F16" s="55" t="s">
        <v>1285</v>
      </c>
      <c r="H16" s="7"/>
      <c r="I16" s="7"/>
      <c r="J16" s="7"/>
      <c r="K16" s="7"/>
      <c r="L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31" ht="12.75"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31" ht="12.75"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31" ht="12.75"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2.75"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31" ht="26.25">
      <c r="A21" s="4" t="s">
        <v>1652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31">
      <c r="A22" s="16" t="s">
        <v>77</v>
      </c>
      <c r="B22" s="101" t="s">
        <v>1138</v>
      </c>
      <c r="C22" s="101" t="s">
        <v>1139</v>
      </c>
      <c r="D22" s="81" t="s">
        <v>32</v>
      </c>
      <c r="E22" s="81" t="s">
        <v>33</v>
      </c>
      <c r="F22" s="81" t="s">
        <v>34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31" ht="12.75">
      <c r="A23" s="20" t="s">
        <v>30</v>
      </c>
      <c r="B23" s="80">
        <v>16</v>
      </c>
      <c r="C23" s="80">
        <v>0</v>
      </c>
      <c r="D23" s="81">
        <v>10</v>
      </c>
      <c r="E23" s="80">
        <v>111</v>
      </c>
      <c r="F23" s="81">
        <v>10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31" ht="15" customHeight="1">
      <c r="A24" s="31" t="s">
        <v>28</v>
      </c>
      <c r="B24" s="81">
        <v>31</v>
      </c>
      <c r="C24" s="81">
        <v>0</v>
      </c>
      <c r="D24" s="81">
        <v>5</v>
      </c>
      <c r="E24" s="80">
        <v>170</v>
      </c>
      <c r="F24" s="81">
        <v>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31" ht="15" customHeight="1">
      <c r="A25" s="20" t="s">
        <v>22</v>
      </c>
      <c r="B25" s="104">
        <v>0</v>
      </c>
      <c r="C25" s="104">
        <v>344</v>
      </c>
      <c r="D25" s="12">
        <v>200</v>
      </c>
      <c r="E25" s="12">
        <v>31</v>
      </c>
      <c r="F25" s="12">
        <v>31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31" ht="12.75">
      <c r="A26" s="20" t="s">
        <v>25</v>
      </c>
      <c r="B26" s="12">
        <v>42</v>
      </c>
      <c r="C26" s="12">
        <v>0</v>
      </c>
      <c r="D26" s="21">
        <v>19</v>
      </c>
      <c r="E26" s="12">
        <v>0</v>
      </c>
      <c r="F26" s="21">
        <v>0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31" ht="12.75">
      <c r="A27" s="20" t="s">
        <v>18</v>
      </c>
      <c r="B27" s="25">
        <v>0</v>
      </c>
      <c r="C27" s="25">
        <v>0</v>
      </c>
      <c r="D27" s="25">
        <v>1</v>
      </c>
      <c r="E27" s="25">
        <v>2</v>
      </c>
      <c r="F27" s="25">
        <v>0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31" ht="12.75">
      <c r="A28" s="20" t="s">
        <v>12</v>
      </c>
      <c r="B28" s="12">
        <v>33</v>
      </c>
      <c r="C28" s="12">
        <v>0</v>
      </c>
      <c r="D28" s="21">
        <v>16</v>
      </c>
      <c r="E28" s="12">
        <v>133</v>
      </c>
      <c r="F28" s="21">
        <v>15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31">
      <c r="A29" s="16" t="s">
        <v>80</v>
      </c>
      <c r="B29" s="17" t="s">
        <v>1140</v>
      </c>
      <c r="C29" s="17" t="s">
        <v>1141</v>
      </c>
      <c r="D29" s="101" t="s">
        <v>32</v>
      </c>
      <c r="E29" s="18" t="s">
        <v>1142</v>
      </c>
      <c r="F29" s="240" t="s">
        <v>1143</v>
      </c>
      <c r="G29" s="241"/>
      <c r="H29" s="17" t="s">
        <v>505</v>
      </c>
      <c r="I29" s="17" t="s">
        <v>31</v>
      </c>
      <c r="J29" s="18" t="s">
        <v>1144</v>
      </c>
      <c r="K29" s="81" t="s">
        <v>35</v>
      </c>
      <c r="M29" s="147"/>
      <c r="N29" s="147"/>
      <c r="O29" s="147"/>
      <c r="P29" s="147"/>
      <c r="Q29" s="14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31" ht="15">
      <c r="A30" s="20" t="s">
        <v>21</v>
      </c>
      <c r="B30" s="21">
        <v>253</v>
      </c>
      <c r="C30" s="21">
        <v>127</v>
      </c>
      <c r="D30" s="21">
        <v>43</v>
      </c>
      <c r="E30" s="57"/>
      <c r="F30" s="21">
        <v>141</v>
      </c>
      <c r="G30" s="88">
        <v>20</v>
      </c>
      <c r="H30" s="12">
        <v>669</v>
      </c>
      <c r="I30" s="29" t="s">
        <v>1286</v>
      </c>
      <c r="J30" s="60">
        <v>5.3101851851851851E-2</v>
      </c>
      <c r="K30" s="113">
        <v>1.1377314814814814E-2</v>
      </c>
      <c r="M30" s="135"/>
      <c r="N30" s="135"/>
      <c r="O30" s="135"/>
      <c r="P30" s="135"/>
      <c r="Q30" s="135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31" ht="12.75">
      <c r="A31" s="20" t="s">
        <v>24</v>
      </c>
      <c r="B31" s="29">
        <v>61</v>
      </c>
      <c r="C31" s="29">
        <v>45</v>
      </c>
      <c r="D31" s="29">
        <v>12</v>
      </c>
      <c r="E31" s="21"/>
      <c r="F31" s="29">
        <v>117</v>
      </c>
      <c r="G31" s="90">
        <v>49</v>
      </c>
      <c r="H31" s="29">
        <v>436</v>
      </c>
      <c r="I31" s="29" t="s">
        <v>1254</v>
      </c>
      <c r="J31" s="182">
        <v>5.5370370370370368E-2</v>
      </c>
      <c r="K31" s="114">
        <v>1.4004629629629629E-3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31" ht="12.75">
      <c r="A32" s="20" t="s">
        <v>1287</v>
      </c>
      <c r="B32" s="90">
        <v>55</v>
      </c>
      <c r="C32" s="29">
        <v>40</v>
      </c>
      <c r="D32" s="29">
        <v>21</v>
      </c>
      <c r="E32" s="21"/>
      <c r="F32" s="29">
        <v>31</v>
      </c>
      <c r="G32" s="90">
        <v>15</v>
      </c>
      <c r="H32" s="29">
        <v>233</v>
      </c>
      <c r="I32" s="29" t="s">
        <v>1288</v>
      </c>
      <c r="J32" s="182">
        <v>7.3043981481481488E-2</v>
      </c>
      <c r="K32" s="182">
        <v>2.1875000000000002E-3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31" ht="12.75">
      <c r="A33" s="20" t="s">
        <v>41</v>
      </c>
      <c r="B33" s="29">
        <v>138</v>
      </c>
      <c r="C33" s="29">
        <v>109</v>
      </c>
      <c r="D33" s="12">
        <v>32</v>
      </c>
      <c r="E33" s="57"/>
      <c r="F33" s="21">
        <v>107</v>
      </c>
      <c r="G33" s="88">
        <v>20</v>
      </c>
      <c r="H33" s="104">
        <v>344</v>
      </c>
      <c r="I33" s="29" t="s">
        <v>1289</v>
      </c>
      <c r="J33" s="60">
        <v>9.1215277777777784E-2</v>
      </c>
      <c r="K33" s="113">
        <v>3.1250000000000002E-3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31" ht="12.75">
      <c r="A34" s="20" t="s">
        <v>135</v>
      </c>
      <c r="B34" s="29">
        <v>97</v>
      </c>
      <c r="C34" s="29">
        <v>80</v>
      </c>
      <c r="D34" s="21">
        <v>61</v>
      </c>
      <c r="E34" s="57"/>
      <c r="F34" s="21">
        <v>94</v>
      </c>
      <c r="G34" s="12">
        <v>9</v>
      </c>
      <c r="H34" s="104">
        <v>382</v>
      </c>
      <c r="I34" s="29" t="s">
        <v>1254</v>
      </c>
      <c r="J34" s="182">
        <v>6.699074074074074E-2</v>
      </c>
      <c r="K34" s="113">
        <v>4.6643518518518518E-3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31" ht="12.75">
      <c r="A35" s="20" t="s">
        <v>796</v>
      </c>
      <c r="B35" s="29">
        <v>196</v>
      </c>
      <c r="C35" s="29">
        <v>58</v>
      </c>
      <c r="D35" s="12">
        <v>45</v>
      </c>
      <c r="E35" s="57"/>
      <c r="F35" s="127" t="s">
        <v>1290</v>
      </c>
      <c r="G35" s="150" t="s">
        <v>1291</v>
      </c>
      <c r="H35" s="115" t="s">
        <v>1292</v>
      </c>
      <c r="I35" s="29" t="s">
        <v>1293</v>
      </c>
      <c r="J35" s="60">
        <v>5.2673611111111109E-2</v>
      </c>
      <c r="K35" s="152" t="s">
        <v>1294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2.75">
      <c r="A36" s="20" t="s">
        <v>209</v>
      </c>
      <c r="B36" s="103">
        <v>194</v>
      </c>
      <c r="C36" s="103">
        <v>61</v>
      </c>
      <c r="D36" s="21">
        <v>46</v>
      </c>
      <c r="E36" s="57"/>
      <c r="F36" s="21">
        <v>201</v>
      </c>
      <c r="G36" s="87">
        <v>59</v>
      </c>
      <c r="H36" s="103">
        <v>767</v>
      </c>
      <c r="I36" s="29" t="s">
        <v>1295</v>
      </c>
      <c r="J36" s="9">
        <v>3.5949074074074071E-2</v>
      </c>
      <c r="K36" s="109">
        <v>1.2962962962962963E-3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75">
      <c r="A37" s="20" t="s">
        <v>86</v>
      </c>
      <c r="B37" s="90">
        <v>29</v>
      </c>
      <c r="C37" s="90">
        <v>20</v>
      </c>
      <c r="D37" s="21">
        <v>18</v>
      </c>
      <c r="E37" s="57"/>
      <c r="F37" s="127" t="s">
        <v>1296</v>
      </c>
      <c r="G37" s="150" t="s">
        <v>1297</v>
      </c>
      <c r="H37" s="29">
        <v>241</v>
      </c>
      <c r="I37" s="29" t="s">
        <v>1298</v>
      </c>
      <c r="J37" s="60">
        <v>4.283564814814815E-2</v>
      </c>
      <c r="K37" s="109">
        <v>2.0023148148148148E-3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75">
      <c r="A38" s="20" t="s">
        <v>87</v>
      </c>
      <c r="B38" s="103">
        <v>65</v>
      </c>
      <c r="C38" s="103">
        <v>30</v>
      </c>
      <c r="D38" s="103">
        <v>44</v>
      </c>
      <c r="E38" s="57"/>
      <c r="F38" s="21">
        <v>160</v>
      </c>
      <c r="G38" s="87">
        <v>16</v>
      </c>
      <c r="H38" s="103">
        <v>429</v>
      </c>
      <c r="I38" s="29" t="s">
        <v>1099</v>
      </c>
      <c r="J38" s="60">
        <v>4.6168981481481484E-2</v>
      </c>
      <c r="K38" s="109">
        <v>1.0763888888888889E-3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75">
      <c r="A39" s="20" t="s">
        <v>23</v>
      </c>
      <c r="B39" s="29">
        <v>9</v>
      </c>
      <c r="C39" s="29">
        <v>3</v>
      </c>
      <c r="D39" s="29">
        <v>5</v>
      </c>
      <c r="E39" s="57"/>
      <c r="F39" s="21">
        <v>0</v>
      </c>
      <c r="G39" s="21">
        <v>0</v>
      </c>
      <c r="H39" s="21">
        <v>117</v>
      </c>
      <c r="I39" s="183" t="s">
        <v>1299</v>
      </c>
      <c r="J39" s="109">
        <v>2.238425925925926E-2</v>
      </c>
      <c r="K39" s="109">
        <v>2.3148148148148149E-4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>
      <c r="A40" s="20" t="s">
        <v>39</v>
      </c>
      <c r="B40" s="29">
        <v>179</v>
      </c>
      <c r="C40" s="29">
        <v>50</v>
      </c>
      <c r="D40" s="29">
        <v>76</v>
      </c>
      <c r="E40" s="57"/>
      <c r="F40" s="21">
        <v>205</v>
      </c>
      <c r="G40" s="87">
        <v>34</v>
      </c>
      <c r="H40" s="29">
        <v>966</v>
      </c>
      <c r="I40" s="29" t="s">
        <v>1097</v>
      </c>
      <c r="J40" s="9">
        <v>2.2893518518518518E-2</v>
      </c>
      <c r="K40" s="109">
        <v>9.7222222222222219E-4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>
      <c r="A41" s="20" t="s">
        <v>1300</v>
      </c>
      <c r="B41" s="29">
        <v>141</v>
      </c>
      <c r="C41" s="29">
        <v>47</v>
      </c>
      <c r="D41" s="29">
        <v>24</v>
      </c>
      <c r="E41" s="57"/>
      <c r="F41" s="21" t="s">
        <v>1145</v>
      </c>
      <c r="G41" s="21" t="s">
        <v>1145</v>
      </c>
      <c r="H41" s="29">
        <v>359</v>
      </c>
      <c r="I41" s="29" t="s">
        <v>1286</v>
      </c>
      <c r="J41" s="9">
        <v>2.7025462962962963E-2</v>
      </c>
      <c r="K41" s="109">
        <v>9.7222222222222219E-4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>
      <c r="A42" s="20" t="s">
        <v>512</v>
      </c>
      <c r="B42" s="29">
        <v>73</v>
      </c>
      <c r="C42" s="90">
        <v>1</v>
      </c>
      <c r="D42" s="29">
        <v>53</v>
      </c>
      <c r="E42" s="57"/>
      <c r="F42" s="87">
        <v>14</v>
      </c>
      <c r="G42" s="21">
        <v>6</v>
      </c>
      <c r="H42" s="29">
        <v>741</v>
      </c>
      <c r="I42" s="29" t="s">
        <v>1301</v>
      </c>
      <c r="J42" s="9">
        <v>1.9201388888888889E-2</v>
      </c>
      <c r="K42" s="109">
        <v>1.2731481481481483E-3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>
      <c r="A43" s="20" t="s">
        <v>1207</v>
      </c>
      <c r="B43" s="29">
        <v>131</v>
      </c>
      <c r="C43" s="90">
        <v>16</v>
      </c>
      <c r="D43" s="29">
        <v>49</v>
      </c>
      <c r="E43" s="57"/>
      <c r="F43" s="21">
        <v>136</v>
      </c>
      <c r="G43" s="88">
        <v>25</v>
      </c>
      <c r="H43" s="104">
        <v>483</v>
      </c>
      <c r="I43" s="29" t="s">
        <v>185</v>
      </c>
      <c r="J43" s="60">
        <v>5.2731481481481483E-2</v>
      </c>
      <c r="K43" s="113">
        <v>4.7685185185185183E-3</v>
      </c>
      <c r="R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75">
      <c r="A44" s="20" t="s">
        <v>93</v>
      </c>
      <c r="B44" s="90">
        <v>24</v>
      </c>
      <c r="C44" s="29">
        <v>26</v>
      </c>
      <c r="D44" s="29">
        <v>32</v>
      </c>
      <c r="E44" s="57"/>
      <c r="F44" s="21">
        <v>102</v>
      </c>
      <c r="G44" s="87">
        <v>22</v>
      </c>
      <c r="H44" s="29">
        <v>537</v>
      </c>
      <c r="I44" s="29" t="s">
        <v>1302</v>
      </c>
      <c r="J44" s="60">
        <v>4.3564814814814813E-2</v>
      </c>
      <c r="K44" s="113">
        <v>4.386574074074074E-3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>
      <c r="A45" s="20" t="s">
        <v>515</v>
      </c>
      <c r="B45" s="29">
        <v>0</v>
      </c>
      <c r="C45" s="29">
        <v>3</v>
      </c>
      <c r="D45" s="29">
        <v>3</v>
      </c>
      <c r="E45" s="57"/>
      <c r="F45" s="21">
        <v>0</v>
      </c>
      <c r="G45" s="21">
        <v>0</v>
      </c>
      <c r="H45" s="29">
        <v>94</v>
      </c>
      <c r="I45" s="29">
        <v>4</v>
      </c>
      <c r="J45" s="9">
        <v>3.8969907407407404E-2</v>
      </c>
      <c r="K45" s="113">
        <v>3.2638888888888891E-3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>
      <c r="A46" s="20" t="s">
        <v>1303</v>
      </c>
      <c r="B46" s="29">
        <v>65</v>
      </c>
      <c r="C46" s="29">
        <v>26</v>
      </c>
      <c r="D46" s="29">
        <v>22</v>
      </c>
      <c r="E46" s="57"/>
      <c r="F46" s="21" t="s">
        <v>1145</v>
      </c>
      <c r="G46" s="21" t="s">
        <v>1145</v>
      </c>
      <c r="H46" s="104">
        <v>399</v>
      </c>
      <c r="I46" s="29" t="s">
        <v>1099</v>
      </c>
      <c r="J46" s="179">
        <v>2.0462962962962964E-2</v>
      </c>
      <c r="K46" s="109">
        <v>1.261574074074074E-3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>
      <c r="A47" s="20" t="s">
        <v>814</v>
      </c>
      <c r="B47" s="29">
        <v>70</v>
      </c>
      <c r="C47" s="29">
        <v>62</v>
      </c>
      <c r="D47" s="29">
        <v>20</v>
      </c>
      <c r="E47" s="57"/>
      <c r="F47" s="21" t="s">
        <v>1145</v>
      </c>
      <c r="G47" s="21" t="s">
        <v>1145</v>
      </c>
      <c r="H47" s="12">
        <v>734</v>
      </c>
      <c r="I47" s="21" t="s">
        <v>488</v>
      </c>
      <c r="J47" s="179">
        <v>3.8854166666666669E-2</v>
      </c>
      <c r="K47" s="113">
        <v>6.4467592592592588E-3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>
      <c r="A48" s="20" t="s">
        <v>1235</v>
      </c>
      <c r="B48" s="29">
        <v>66</v>
      </c>
      <c r="C48" s="29">
        <v>27</v>
      </c>
      <c r="D48" s="29">
        <v>84</v>
      </c>
      <c r="E48" s="57"/>
      <c r="F48" s="21">
        <v>147</v>
      </c>
      <c r="G48" s="87">
        <v>29</v>
      </c>
      <c r="H48" s="21">
        <v>828</v>
      </c>
      <c r="I48" s="21" t="s">
        <v>184</v>
      </c>
      <c r="J48" s="9">
        <v>2.5462962962962962E-2</v>
      </c>
      <c r="K48" s="109">
        <v>1.1111111111111111E-3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75">
      <c r="A49" s="20" t="s">
        <v>1304</v>
      </c>
      <c r="B49" s="29">
        <v>0</v>
      </c>
      <c r="C49" s="29">
        <v>39</v>
      </c>
      <c r="D49" s="29">
        <v>1</v>
      </c>
      <c r="E49" s="57"/>
      <c r="F49" s="21">
        <v>76</v>
      </c>
      <c r="G49" s="21">
        <v>5</v>
      </c>
      <c r="H49" s="29">
        <v>725</v>
      </c>
      <c r="I49" s="29" t="s">
        <v>1145</v>
      </c>
      <c r="J49" s="91">
        <v>5.9016203703703703E-2</v>
      </c>
      <c r="K49" s="113">
        <v>1.3506944444444445E-2</v>
      </c>
      <c r="Q49" s="99"/>
    </row>
    <row r="50" spans="1:31" ht="12.75">
      <c r="A50" s="20" t="s">
        <v>1216</v>
      </c>
      <c r="B50" s="29">
        <v>150</v>
      </c>
      <c r="C50" s="29">
        <v>48</v>
      </c>
      <c r="D50" s="29">
        <v>16</v>
      </c>
      <c r="E50" s="57"/>
      <c r="F50" s="21">
        <v>124</v>
      </c>
      <c r="G50" s="87">
        <v>49</v>
      </c>
      <c r="H50" s="29">
        <v>905</v>
      </c>
      <c r="I50" s="29" t="s">
        <v>1305</v>
      </c>
      <c r="J50" s="153">
        <v>2.5960648148148149E-2</v>
      </c>
      <c r="K50" s="113">
        <v>2.7314814814814814E-3</v>
      </c>
      <c r="Q50" s="69"/>
    </row>
    <row r="51" spans="1:31" ht="12.75">
      <c r="A51" s="20" t="s">
        <v>1306</v>
      </c>
      <c r="B51" s="29">
        <v>0</v>
      </c>
      <c r="C51" s="29">
        <v>5</v>
      </c>
      <c r="D51" s="29">
        <v>0</v>
      </c>
      <c r="E51" s="57"/>
      <c r="F51" s="152" t="s">
        <v>1307</v>
      </c>
      <c r="G51" s="21">
        <v>2</v>
      </c>
      <c r="H51" s="29">
        <v>796</v>
      </c>
      <c r="I51" s="29">
        <v>5</v>
      </c>
      <c r="J51" s="91">
        <v>6.1550925925925926E-2</v>
      </c>
      <c r="K51" s="154" t="s">
        <v>1308</v>
      </c>
      <c r="O51" s="39"/>
      <c r="P51" s="39"/>
      <c r="Q51" s="39"/>
    </row>
    <row r="52" spans="1:31" ht="12.75">
      <c r="A52" s="20" t="s">
        <v>27</v>
      </c>
      <c r="B52" s="29">
        <v>124</v>
      </c>
      <c r="C52" s="29">
        <v>46</v>
      </c>
      <c r="D52" s="29">
        <v>26</v>
      </c>
      <c r="E52" s="57"/>
      <c r="F52" s="152" t="s">
        <v>1309</v>
      </c>
      <c r="G52" s="21">
        <v>9</v>
      </c>
      <c r="H52" s="29">
        <v>725</v>
      </c>
      <c r="I52" s="29" t="s">
        <v>1310</v>
      </c>
      <c r="J52" s="91">
        <v>4.9687500000000002E-2</v>
      </c>
      <c r="K52" s="154" t="s">
        <v>1311</v>
      </c>
      <c r="O52" s="6"/>
      <c r="P52" s="6"/>
      <c r="Q52" s="6"/>
    </row>
    <row r="53" spans="1:31" ht="12.75">
      <c r="A53" s="20" t="s">
        <v>38</v>
      </c>
      <c r="B53" s="29">
        <v>86</v>
      </c>
      <c r="C53" s="29">
        <v>64</v>
      </c>
      <c r="D53" s="29">
        <v>39</v>
      </c>
      <c r="E53" s="57"/>
      <c r="F53" s="21">
        <v>141</v>
      </c>
      <c r="G53" s="154" t="s">
        <v>1312</v>
      </c>
      <c r="H53" s="152" t="s">
        <v>1102</v>
      </c>
      <c r="I53" s="21" t="s">
        <v>1313</v>
      </c>
      <c r="J53" s="9">
        <v>2.7291666666666665E-2</v>
      </c>
      <c r="K53" s="113">
        <v>2.6967592592592594E-3</v>
      </c>
      <c r="O53" s="39"/>
      <c r="P53" s="39"/>
      <c r="Q53" s="39"/>
    </row>
    <row r="54" spans="1:31" ht="12.75">
      <c r="A54" s="20" t="s">
        <v>519</v>
      </c>
      <c r="B54" s="90">
        <v>0</v>
      </c>
      <c r="C54" s="90">
        <v>0</v>
      </c>
      <c r="D54" s="29">
        <v>41</v>
      </c>
      <c r="E54" s="57"/>
      <c r="F54" s="21">
        <v>35</v>
      </c>
      <c r="G54" s="87">
        <v>16</v>
      </c>
      <c r="H54" s="21">
        <v>466</v>
      </c>
      <c r="I54" s="29" t="s">
        <v>1293</v>
      </c>
      <c r="J54" s="60">
        <v>6.4039351851851847E-2</v>
      </c>
      <c r="K54" s="109">
        <v>1.9212962962962964E-3</v>
      </c>
      <c r="O54" s="6"/>
      <c r="P54" s="6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2.75">
      <c r="A55" s="20" t="s">
        <v>522</v>
      </c>
      <c r="B55" s="29">
        <v>192</v>
      </c>
      <c r="C55" s="29">
        <v>72</v>
      </c>
      <c r="D55" s="29">
        <v>33</v>
      </c>
      <c r="E55" s="57"/>
      <c r="F55" s="21">
        <v>76</v>
      </c>
      <c r="G55" s="21">
        <v>6</v>
      </c>
      <c r="H55" s="29">
        <v>445</v>
      </c>
      <c r="I55" s="29" t="s">
        <v>185</v>
      </c>
      <c r="J55" s="60">
        <v>7.0983796296296295E-2</v>
      </c>
      <c r="K55" s="113">
        <v>4.5717592592592589E-3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2.75">
      <c r="A56" s="20" t="s">
        <v>42</v>
      </c>
      <c r="B56" s="115" t="s">
        <v>1314</v>
      </c>
      <c r="C56" s="115" t="s">
        <v>1315</v>
      </c>
      <c r="D56" s="115" t="s">
        <v>1316</v>
      </c>
      <c r="E56" s="57"/>
      <c r="F56" s="21">
        <v>144</v>
      </c>
      <c r="G56" s="87">
        <v>25</v>
      </c>
      <c r="H56" s="115" t="s">
        <v>1317</v>
      </c>
      <c r="I56" s="29" t="s">
        <v>1099</v>
      </c>
      <c r="J56" s="60">
        <v>5.4976851851851853E-2</v>
      </c>
      <c r="K56" s="113">
        <v>2.4652777777777776E-3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">
      <c r="A57" s="156" t="s">
        <v>15</v>
      </c>
      <c r="B57" s="159" t="s">
        <v>1318</v>
      </c>
      <c r="C57" s="159" t="s">
        <v>1319</v>
      </c>
      <c r="D57" s="184">
        <v>1097</v>
      </c>
      <c r="E57" s="185"/>
      <c r="F57" s="170">
        <v>2051</v>
      </c>
      <c r="G57" s="158">
        <v>416</v>
      </c>
      <c r="H57" s="184">
        <v>12821</v>
      </c>
      <c r="I57" s="158" t="s">
        <v>1099</v>
      </c>
      <c r="J57" s="160">
        <v>4.6018518518518521E-2</v>
      </c>
      <c r="K57" s="160">
        <v>3.3217592592592591E-3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">
      <c r="A58" s="156" t="s">
        <v>1174</v>
      </c>
      <c r="B58" s="177" t="s">
        <v>1320</v>
      </c>
      <c r="C58" s="177" t="s">
        <v>1321</v>
      </c>
      <c r="D58" s="165" t="s">
        <v>1322</v>
      </c>
      <c r="E58" s="45"/>
      <c r="F58" s="164">
        <v>700</v>
      </c>
      <c r="G58" s="165" t="s">
        <v>1323</v>
      </c>
      <c r="H58" s="164" t="s">
        <v>1230</v>
      </c>
      <c r="I58" s="166">
        <v>45781</v>
      </c>
      <c r="J58" s="167">
        <v>4.1666666666666664E-2</v>
      </c>
      <c r="K58" s="167">
        <v>2.0717592592592593E-3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">
      <c r="A59" s="156" t="s">
        <v>1177</v>
      </c>
      <c r="B59" s="164">
        <v>59</v>
      </c>
      <c r="C59" s="165">
        <v>26</v>
      </c>
      <c r="D59" s="165">
        <v>31</v>
      </c>
      <c r="E59" s="7"/>
      <c r="F59" s="164">
        <v>25</v>
      </c>
      <c r="G59" s="165" t="s">
        <v>1324</v>
      </c>
      <c r="H59" s="164">
        <v>147</v>
      </c>
      <c r="I59" s="165" t="s">
        <v>1203</v>
      </c>
      <c r="J59" s="167">
        <v>3.471064814814815E-2</v>
      </c>
      <c r="K59" s="167">
        <v>1.6203703703703703E-3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>
      <c r="A60" s="3"/>
      <c r="B60" s="95"/>
      <c r="C60" s="63"/>
      <c r="D60" s="63"/>
      <c r="E60" s="6"/>
      <c r="F60" s="95"/>
      <c r="G60" s="63"/>
      <c r="H60" s="95"/>
      <c r="I60" s="63"/>
      <c r="J60" s="186"/>
      <c r="K60" s="18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75">
      <c r="A61" s="3"/>
      <c r="B61" s="95"/>
      <c r="C61" s="63"/>
      <c r="D61" s="63"/>
      <c r="E61" s="6"/>
      <c r="F61" s="95"/>
      <c r="G61" s="63"/>
      <c r="H61" s="95"/>
      <c r="I61" s="63"/>
      <c r="J61" s="186"/>
      <c r="K61" s="18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75">
      <c r="A62" s="3"/>
      <c r="B62" s="95"/>
      <c r="C62" s="63"/>
      <c r="D62" s="63"/>
      <c r="E62" s="6"/>
      <c r="F62" s="95"/>
      <c r="G62" s="63"/>
      <c r="H62" s="95"/>
      <c r="I62" s="63"/>
      <c r="J62" s="186"/>
      <c r="K62" s="18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26.25">
      <c r="A63" s="4" t="s">
        <v>1653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16" t="s">
        <v>77</v>
      </c>
      <c r="B64" s="101" t="s">
        <v>1138</v>
      </c>
      <c r="C64" s="101" t="s">
        <v>1139</v>
      </c>
      <c r="D64" s="81" t="s">
        <v>32</v>
      </c>
      <c r="E64" s="81" t="s">
        <v>33</v>
      </c>
      <c r="F64" s="81" t="s">
        <v>34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>
      <c r="A65" s="20" t="s">
        <v>30</v>
      </c>
      <c r="B65" s="80">
        <v>8</v>
      </c>
      <c r="C65" s="80">
        <v>0</v>
      </c>
      <c r="D65" s="81">
        <v>3</v>
      </c>
      <c r="E65" s="80">
        <v>75</v>
      </c>
      <c r="F65" s="81">
        <v>10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75">
      <c r="A66" s="31" t="s">
        <v>28</v>
      </c>
      <c r="B66" s="81">
        <v>39</v>
      </c>
      <c r="C66" s="81">
        <v>0</v>
      </c>
      <c r="D66" s="81">
        <v>2</v>
      </c>
      <c r="E66" s="80">
        <v>127</v>
      </c>
      <c r="F66" s="81">
        <v>3</v>
      </c>
      <c r="G66" s="1"/>
      <c r="H66" s="1"/>
      <c r="I66" s="1"/>
      <c r="J66" s="1"/>
      <c r="K66" s="1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>
      <c r="A67" s="20" t="s">
        <v>22</v>
      </c>
      <c r="B67" s="104">
        <v>2</v>
      </c>
      <c r="C67" s="104">
        <v>226</v>
      </c>
      <c r="D67" s="12">
        <v>127</v>
      </c>
      <c r="E67" s="12">
        <v>43</v>
      </c>
      <c r="F67" s="12">
        <v>12</v>
      </c>
      <c r="G67" s="1"/>
      <c r="H67" s="1"/>
      <c r="I67" s="1"/>
      <c r="J67" s="1"/>
      <c r="K67" s="1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>
      <c r="A68" s="20" t="s">
        <v>25</v>
      </c>
      <c r="B68" s="12">
        <v>10</v>
      </c>
      <c r="C68" s="12">
        <v>0</v>
      </c>
      <c r="D68" s="21">
        <v>6</v>
      </c>
      <c r="E68" s="12">
        <v>0</v>
      </c>
      <c r="F68" s="21">
        <v>0</v>
      </c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>
      <c r="A69" s="20" t="s">
        <v>18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L69" s="39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>
      <c r="A70" s="20" t="s">
        <v>12</v>
      </c>
      <c r="B70" s="12">
        <v>23</v>
      </c>
      <c r="C70" s="12">
        <v>0</v>
      </c>
      <c r="D70" s="21">
        <v>12</v>
      </c>
      <c r="E70" s="12">
        <v>92</v>
      </c>
      <c r="F70" s="21">
        <v>18</v>
      </c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>
      <c r="A71" s="16" t="s">
        <v>80</v>
      </c>
      <c r="B71" s="17" t="s">
        <v>1140</v>
      </c>
      <c r="C71" s="17" t="s">
        <v>1141</v>
      </c>
      <c r="D71" s="101" t="s">
        <v>32</v>
      </c>
      <c r="E71" s="18" t="s">
        <v>1325</v>
      </c>
      <c r="F71" s="240" t="s">
        <v>1143</v>
      </c>
      <c r="G71" s="241"/>
      <c r="H71" s="17" t="s">
        <v>505</v>
      </c>
      <c r="I71" s="17" t="s">
        <v>31</v>
      </c>
      <c r="J71" s="18" t="s">
        <v>1144</v>
      </c>
      <c r="K71" s="81" t="s">
        <v>35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75">
      <c r="A72" s="20" t="s">
        <v>21</v>
      </c>
      <c r="B72" s="21">
        <v>151</v>
      </c>
      <c r="C72" s="21">
        <v>130</v>
      </c>
      <c r="D72" s="21">
        <v>38</v>
      </c>
      <c r="E72" s="57">
        <v>0</v>
      </c>
      <c r="F72" s="21">
        <v>253</v>
      </c>
      <c r="G72" s="88">
        <v>69</v>
      </c>
      <c r="H72" s="12">
        <v>296</v>
      </c>
      <c r="I72" s="107">
        <v>46177</v>
      </c>
      <c r="J72" s="60">
        <v>4.3495370370370372E-2</v>
      </c>
      <c r="K72" s="113">
        <v>6.3194444444444444E-3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>
      <c r="A73" s="20" t="s">
        <v>24</v>
      </c>
      <c r="B73" s="90">
        <v>13</v>
      </c>
      <c r="C73" s="29">
        <v>59</v>
      </c>
      <c r="D73" s="29">
        <v>14</v>
      </c>
      <c r="E73" s="57">
        <v>0</v>
      </c>
      <c r="F73" s="29">
        <v>97</v>
      </c>
      <c r="G73" s="90">
        <v>39</v>
      </c>
      <c r="H73" s="29">
        <v>208</v>
      </c>
      <c r="I73" s="107">
        <v>46085</v>
      </c>
      <c r="J73" s="182">
        <v>3.5949074074074071E-2</v>
      </c>
      <c r="K73" s="114">
        <v>8.2175925925925927E-4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>
      <c r="A74" s="20" t="s">
        <v>1287</v>
      </c>
      <c r="B74" s="90">
        <v>52</v>
      </c>
      <c r="C74" s="29">
        <v>102</v>
      </c>
      <c r="D74" s="29">
        <v>34</v>
      </c>
      <c r="E74" s="57">
        <v>0</v>
      </c>
      <c r="F74" s="29">
        <v>178</v>
      </c>
      <c r="G74" s="90">
        <v>48</v>
      </c>
      <c r="H74" s="29">
        <v>283</v>
      </c>
      <c r="I74" s="107">
        <v>46177</v>
      </c>
      <c r="J74" s="114">
        <v>2.4872685185185185E-2</v>
      </c>
      <c r="K74" s="114">
        <v>1.0879629629629629E-3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>
      <c r="A75" s="20" t="s">
        <v>41</v>
      </c>
      <c r="B75" s="29">
        <v>68</v>
      </c>
      <c r="C75" s="29">
        <v>119</v>
      </c>
      <c r="D75" s="12">
        <v>20</v>
      </c>
      <c r="E75" s="57">
        <v>0</v>
      </c>
      <c r="F75" s="21">
        <v>128</v>
      </c>
      <c r="G75" s="88">
        <v>26</v>
      </c>
      <c r="H75" s="104">
        <v>205</v>
      </c>
      <c r="I75" s="149">
        <v>46268</v>
      </c>
      <c r="J75" s="60">
        <v>7.424768518518518E-2</v>
      </c>
      <c r="K75" s="109">
        <v>1.5972222222222223E-3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>
      <c r="A76" s="20" t="s">
        <v>135</v>
      </c>
      <c r="B76" s="90">
        <v>48</v>
      </c>
      <c r="C76" s="29">
        <v>73</v>
      </c>
      <c r="D76" s="21">
        <v>26</v>
      </c>
      <c r="E76" s="57">
        <v>0</v>
      </c>
      <c r="F76" s="21">
        <v>105</v>
      </c>
      <c r="G76" s="88">
        <v>31</v>
      </c>
      <c r="H76" s="104">
        <v>222</v>
      </c>
      <c r="I76" s="107">
        <v>46085</v>
      </c>
      <c r="J76" s="182">
        <v>6.025462962962963E-2</v>
      </c>
      <c r="K76" s="113">
        <v>5.2893518518518515E-3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>
      <c r="A77" s="20" t="s">
        <v>796</v>
      </c>
      <c r="B77" s="29">
        <v>170</v>
      </c>
      <c r="C77" s="29">
        <v>78</v>
      </c>
      <c r="D77" s="12">
        <v>50</v>
      </c>
      <c r="E77" s="57">
        <v>0</v>
      </c>
      <c r="F77" s="127" t="s">
        <v>1326</v>
      </c>
      <c r="G77" s="150" t="s">
        <v>1327</v>
      </c>
      <c r="H77" s="115" t="s">
        <v>1328</v>
      </c>
      <c r="I77" s="107">
        <v>46207</v>
      </c>
      <c r="J77" s="60">
        <v>5.3101851851851851E-2</v>
      </c>
      <c r="K77" s="152" t="s">
        <v>1329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>
      <c r="A78" s="20" t="s">
        <v>209</v>
      </c>
      <c r="B78" s="103">
        <v>184</v>
      </c>
      <c r="C78" s="103">
        <v>73</v>
      </c>
      <c r="D78" s="21">
        <v>32</v>
      </c>
      <c r="E78" s="57">
        <v>0</v>
      </c>
      <c r="F78" s="21">
        <v>190</v>
      </c>
      <c r="G78" s="87">
        <v>45</v>
      </c>
      <c r="H78" s="103">
        <v>413</v>
      </c>
      <c r="I78" s="107">
        <v>46207</v>
      </c>
      <c r="J78" s="9">
        <v>2.9780092592592594E-2</v>
      </c>
      <c r="K78" s="109">
        <v>9.7222222222222219E-4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>
      <c r="A79" s="20" t="s">
        <v>86</v>
      </c>
      <c r="B79" s="90">
        <v>18</v>
      </c>
      <c r="C79" s="29">
        <v>28</v>
      </c>
      <c r="D79" s="21">
        <v>12</v>
      </c>
      <c r="E79" s="57">
        <v>0</v>
      </c>
      <c r="F79" s="127" t="s">
        <v>783</v>
      </c>
      <c r="G79" s="150" t="s">
        <v>1198</v>
      </c>
      <c r="H79" s="29">
        <v>157</v>
      </c>
      <c r="I79" s="29">
        <v>4</v>
      </c>
      <c r="J79" s="60">
        <v>4.8136574074074075E-2</v>
      </c>
      <c r="K79" s="109">
        <v>1.8865740740740742E-3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>
      <c r="A80" s="20" t="s">
        <v>87</v>
      </c>
      <c r="B80" s="151">
        <v>28</v>
      </c>
      <c r="C80" s="151">
        <v>30</v>
      </c>
      <c r="D80" s="103">
        <v>28</v>
      </c>
      <c r="E80" s="57">
        <v>0</v>
      </c>
      <c r="F80" s="21">
        <v>109</v>
      </c>
      <c r="G80" s="87">
        <v>34</v>
      </c>
      <c r="H80" s="103">
        <v>319</v>
      </c>
      <c r="I80" s="107">
        <v>46207</v>
      </c>
      <c r="J80" s="9">
        <v>2.1493055555555557E-2</v>
      </c>
      <c r="K80" s="109">
        <v>4.861111111111111E-4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>
      <c r="A81" s="20" t="s">
        <v>23</v>
      </c>
      <c r="B81" s="29">
        <v>5</v>
      </c>
      <c r="C81" s="29">
        <v>5</v>
      </c>
      <c r="D81" s="29">
        <v>3</v>
      </c>
      <c r="E81" s="57">
        <v>0</v>
      </c>
      <c r="F81" s="21">
        <v>0</v>
      </c>
      <c r="G81" s="21">
        <v>0</v>
      </c>
      <c r="H81" s="21">
        <v>101</v>
      </c>
      <c r="I81" s="178">
        <v>5</v>
      </c>
      <c r="J81" s="109">
        <v>7.0949074074074074E-3</v>
      </c>
      <c r="K81" s="109">
        <v>1.6203703703703703E-4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>
      <c r="A82" s="20" t="s">
        <v>39</v>
      </c>
      <c r="B82" s="29">
        <v>68</v>
      </c>
      <c r="C82" s="29">
        <v>71</v>
      </c>
      <c r="D82" s="29">
        <v>42</v>
      </c>
      <c r="E82" s="57">
        <v>0</v>
      </c>
      <c r="F82" s="21">
        <v>135</v>
      </c>
      <c r="G82" s="87">
        <v>57</v>
      </c>
      <c r="H82" s="29">
        <v>484</v>
      </c>
      <c r="I82" s="107">
        <v>46177</v>
      </c>
      <c r="J82" s="9">
        <v>3.201388888888889E-2</v>
      </c>
      <c r="K82" s="109">
        <v>2.0023148148148148E-3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>
      <c r="A83" s="20" t="s">
        <v>1300</v>
      </c>
      <c r="B83" s="29">
        <v>89</v>
      </c>
      <c r="C83" s="29">
        <v>62</v>
      </c>
      <c r="D83" s="29">
        <v>25</v>
      </c>
      <c r="E83" s="57">
        <v>0</v>
      </c>
      <c r="F83" s="21">
        <v>0</v>
      </c>
      <c r="G83" s="21">
        <v>0</v>
      </c>
      <c r="H83" s="29">
        <v>321</v>
      </c>
      <c r="I83" s="107">
        <v>46177</v>
      </c>
      <c r="J83" s="9">
        <v>2.6180555555555554E-2</v>
      </c>
      <c r="K83" s="109">
        <v>1.0416666666666667E-3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>
      <c r="A84" s="20" t="s">
        <v>512</v>
      </c>
      <c r="B84" s="90">
        <v>37</v>
      </c>
      <c r="C84" s="90">
        <v>24</v>
      </c>
      <c r="D84" s="29">
        <v>44</v>
      </c>
      <c r="E84" s="57">
        <v>0</v>
      </c>
      <c r="F84" s="21">
        <v>1</v>
      </c>
      <c r="G84" s="21">
        <v>4</v>
      </c>
      <c r="H84" s="29">
        <v>417</v>
      </c>
      <c r="I84" s="107">
        <v>46146</v>
      </c>
      <c r="J84" s="9">
        <v>3.6296296296296299E-2</v>
      </c>
      <c r="K84" s="109">
        <v>2.1990740740740742E-3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>
      <c r="A85" s="20" t="s">
        <v>1207</v>
      </c>
      <c r="B85" s="29">
        <v>157</v>
      </c>
      <c r="C85" s="29">
        <v>31</v>
      </c>
      <c r="D85" s="29">
        <v>16</v>
      </c>
      <c r="E85" s="57">
        <v>0</v>
      </c>
      <c r="F85" s="21">
        <v>123</v>
      </c>
      <c r="G85" s="88">
        <v>26</v>
      </c>
      <c r="H85" s="104">
        <v>227</v>
      </c>
      <c r="I85" s="107">
        <v>46177</v>
      </c>
      <c r="J85" s="60">
        <v>5.6261574074074075E-2</v>
      </c>
      <c r="K85" s="113">
        <v>5.8564814814814816E-3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>
      <c r="A86" s="20" t="s">
        <v>93</v>
      </c>
      <c r="B86" s="90">
        <v>25</v>
      </c>
      <c r="C86" s="90">
        <v>14</v>
      </c>
      <c r="D86" s="29">
        <v>16</v>
      </c>
      <c r="E86" s="57">
        <v>0</v>
      </c>
      <c r="F86" s="178">
        <v>190</v>
      </c>
      <c r="G86" s="87">
        <v>26</v>
      </c>
      <c r="H86" s="29">
        <v>273</v>
      </c>
      <c r="I86" s="107">
        <v>46116</v>
      </c>
      <c r="J86" s="9">
        <v>3.2824074074074075E-2</v>
      </c>
      <c r="K86" s="109">
        <v>2.5462962962962965E-3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>
      <c r="A87" s="20" t="s">
        <v>515</v>
      </c>
      <c r="B87" s="29">
        <v>3</v>
      </c>
      <c r="C87" s="29">
        <v>2</v>
      </c>
      <c r="D87" s="29">
        <v>2</v>
      </c>
      <c r="E87" s="57">
        <v>0</v>
      </c>
      <c r="F87" s="21">
        <v>0</v>
      </c>
      <c r="G87" s="21">
        <v>0</v>
      </c>
      <c r="H87" s="29">
        <v>45</v>
      </c>
      <c r="I87" s="29"/>
      <c r="J87" s="9">
        <v>2.1689814814814815E-2</v>
      </c>
      <c r="K87" s="109">
        <v>2.199074074074074E-4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2.75">
      <c r="A88" s="20" t="s">
        <v>1303</v>
      </c>
      <c r="B88" s="29">
        <v>199</v>
      </c>
      <c r="C88" s="29">
        <v>97</v>
      </c>
      <c r="D88" s="29">
        <v>24</v>
      </c>
      <c r="E88" s="57">
        <v>0</v>
      </c>
      <c r="F88" s="21">
        <v>0</v>
      </c>
      <c r="G88" s="21">
        <v>0</v>
      </c>
      <c r="H88" s="104">
        <v>479</v>
      </c>
      <c r="I88" s="107">
        <v>46116</v>
      </c>
      <c r="J88" s="179">
        <v>1.8368055555555554E-2</v>
      </c>
      <c r="K88" s="109">
        <v>1.3541666666666667E-3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2.75">
      <c r="A89" s="20" t="s">
        <v>814</v>
      </c>
      <c r="B89" s="29">
        <v>69</v>
      </c>
      <c r="C89" s="29">
        <v>58</v>
      </c>
      <c r="D89" s="29">
        <v>22</v>
      </c>
      <c r="E89" s="57">
        <v>0</v>
      </c>
      <c r="F89" s="21">
        <v>107</v>
      </c>
      <c r="G89" s="87">
        <v>46</v>
      </c>
      <c r="H89" s="12">
        <v>370</v>
      </c>
      <c r="I89" s="82">
        <v>46026</v>
      </c>
      <c r="J89" s="174">
        <v>4.8750000000000002E-2</v>
      </c>
      <c r="K89" s="109">
        <v>5.6365740740740742E-3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2.75">
      <c r="A90" s="20" t="s">
        <v>1235</v>
      </c>
      <c r="B90" s="90">
        <v>14</v>
      </c>
      <c r="C90" s="90">
        <v>15</v>
      </c>
      <c r="D90" s="29">
        <v>23</v>
      </c>
      <c r="E90" s="57">
        <v>0</v>
      </c>
      <c r="F90" s="21">
        <v>112</v>
      </c>
      <c r="G90" s="87">
        <v>32</v>
      </c>
      <c r="H90" s="21">
        <v>288</v>
      </c>
      <c r="I90" s="82">
        <v>46177</v>
      </c>
      <c r="J90" s="9">
        <v>2.0717592592592593E-2</v>
      </c>
      <c r="K90" s="109">
        <v>9.6064814814814819E-4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75">
      <c r="A91" s="20" t="s">
        <v>1330</v>
      </c>
      <c r="B91" s="29">
        <v>0</v>
      </c>
      <c r="C91" s="29">
        <v>95</v>
      </c>
      <c r="D91" s="29">
        <v>0</v>
      </c>
      <c r="E91" s="57">
        <v>37</v>
      </c>
      <c r="F91" s="21">
        <v>86</v>
      </c>
      <c r="G91" s="87">
        <v>18</v>
      </c>
      <c r="H91" s="29">
        <v>463</v>
      </c>
      <c r="I91" s="90">
        <v>1</v>
      </c>
      <c r="J91" s="91">
        <v>6.7546296296296299E-2</v>
      </c>
      <c r="K91" s="113">
        <v>9.8379629629629633E-3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>
      <c r="A92" s="20" t="s">
        <v>1216</v>
      </c>
      <c r="B92" s="90">
        <v>23</v>
      </c>
      <c r="C92" s="29">
        <v>96</v>
      </c>
      <c r="D92" s="29">
        <v>6</v>
      </c>
      <c r="E92" s="57">
        <v>1</v>
      </c>
      <c r="F92" s="21">
        <v>75</v>
      </c>
      <c r="G92" s="87">
        <v>36</v>
      </c>
      <c r="H92" s="29">
        <v>237</v>
      </c>
      <c r="I92" s="29">
        <v>4</v>
      </c>
      <c r="J92" s="91">
        <v>3.9224537037037037E-2</v>
      </c>
      <c r="K92" s="113">
        <v>3.1134259259259257E-3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2.75">
      <c r="A93" s="20" t="s">
        <v>1331</v>
      </c>
      <c r="B93" s="29">
        <v>0</v>
      </c>
      <c r="C93" s="29">
        <v>107</v>
      </c>
      <c r="D93" s="29">
        <v>1</v>
      </c>
      <c r="E93" s="57">
        <v>0</v>
      </c>
      <c r="F93" s="152" t="s">
        <v>1167</v>
      </c>
      <c r="G93" s="21">
        <v>12</v>
      </c>
      <c r="H93" s="29">
        <v>428</v>
      </c>
      <c r="I93" s="29"/>
      <c r="J93" s="91">
        <v>7.300925925925926E-2</v>
      </c>
      <c r="K93" s="154" t="s">
        <v>1332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2.75">
      <c r="A94" s="20" t="s">
        <v>27</v>
      </c>
      <c r="B94" s="29">
        <v>102</v>
      </c>
      <c r="C94" s="29">
        <v>80</v>
      </c>
      <c r="D94" s="29">
        <v>30</v>
      </c>
      <c r="E94" s="57">
        <v>0</v>
      </c>
      <c r="F94" s="152" t="s">
        <v>1123</v>
      </c>
      <c r="G94" s="21">
        <v>9</v>
      </c>
      <c r="H94" s="29">
        <v>346</v>
      </c>
      <c r="I94" s="107">
        <v>46146</v>
      </c>
      <c r="J94" s="91">
        <v>4.071759259259259E-2</v>
      </c>
      <c r="K94" s="154" t="s">
        <v>1333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>
      <c r="A95" s="20" t="s">
        <v>38</v>
      </c>
      <c r="B95" s="29">
        <v>64</v>
      </c>
      <c r="C95" s="29">
        <v>84</v>
      </c>
      <c r="D95" s="29">
        <v>23</v>
      </c>
      <c r="E95" s="57">
        <v>0</v>
      </c>
      <c r="F95" s="21">
        <v>126</v>
      </c>
      <c r="G95" s="154" t="s">
        <v>1334</v>
      </c>
      <c r="H95" s="152" t="s">
        <v>1335</v>
      </c>
      <c r="I95" s="82">
        <v>46057</v>
      </c>
      <c r="J95" s="9">
        <v>2.4189814814814813E-2</v>
      </c>
      <c r="K95" s="109">
        <v>2.0486111111111113E-3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>
      <c r="A96" s="20" t="s">
        <v>519</v>
      </c>
      <c r="B96" s="90">
        <v>14</v>
      </c>
      <c r="C96" s="90">
        <v>6</v>
      </c>
      <c r="D96" s="29">
        <v>28</v>
      </c>
      <c r="E96" s="57">
        <v>0</v>
      </c>
      <c r="F96" s="21">
        <v>48</v>
      </c>
      <c r="G96" s="87">
        <v>22</v>
      </c>
      <c r="H96" s="21">
        <v>356</v>
      </c>
      <c r="I96" s="107">
        <v>46238</v>
      </c>
      <c r="J96" s="60">
        <v>6.9745370370370374E-2</v>
      </c>
      <c r="K96" s="109">
        <v>2.4074074074074076E-3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>
      <c r="A97" s="20" t="s">
        <v>522</v>
      </c>
      <c r="B97" s="29">
        <v>117</v>
      </c>
      <c r="C97" s="29">
        <v>51</v>
      </c>
      <c r="D97" s="29">
        <v>19</v>
      </c>
      <c r="E97" s="57">
        <v>0</v>
      </c>
      <c r="F97" s="21">
        <v>55</v>
      </c>
      <c r="G97" s="87">
        <v>16</v>
      </c>
      <c r="H97" s="29">
        <v>234</v>
      </c>
      <c r="I97" s="149">
        <v>46206</v>
      </c>
      <c r="J97" s="60">
        <v>5.2800925925925925E-2</v>
      </c>
      <c r="K97" s="113">
        <v>5.5555555555555558E-3</v>
      </c>
      <c r="M97" s="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2.75">
      <c r="A98" s="20" t="s">
        <v>42</v>
      </c>
      <c r="B98" s="115" t="s">
        <v>1336</v>
      </c>
      <c r="C98" s="115" t="s">
        <v>1337</v>
      </c>
      <c r="D98" s="115" t="s">
        <v>1338</v>
      </c>
      <c r="E98" s="57"/>
      <c r="F98" s="21">
        <v>141</v>
      </c>
      <c r="G98" s="87">
        <v>43</v>
      </c>
      <c r="H98" s="115" t="s">
        <v>1339</v>
      </c>
      <c r="I98" s="107">
        <v>46116</v>
      </c>
      <c r="J98" s="9">
        <v>3.5231481481481482E-2</v>
      </c>
      <c r="K98" s="109">
        <v>1.4699074074074074E-3</v>
      </c>
      <c r="M98" s="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">
      <c r="A99" s="156" t="s">
        <v>15</v>
      </c>
      <c r="B99" s="159" t="s">
        <v>1340</v>
      </c>
      <c r="C99" s="159" t="s">
        <v>1341</v>
      </c>
      <c r="D99" s="170">
        <v>728</v>
      </c>
      <c r="E99" s="185"/>
      <c r="F99" s="170">
        <v>2259</v>
      </c>
      <c r="G99" s="158">
        <v>639</v>
      </c>
      <c r="H99" s="184">
        <v>7172</v>
      </c>
      <c r="I99" s="158">
        <v>4.29</v>
      </c>
      <c r="J99" s="180">
        <v>4.0520833333333332E-2</v>
      </c>
      <c r="K99" s="160">
        <v>2.7083333333333334E-3</v>
      </c>
      <c r="M99" s="6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">
      <c r="A100" s="156" t="s">
        <v>1174</v>
      </c>
      <c r="B100" s="177" t="s">
        <v>1320</v>
      </c>
      <c r="C100" s="177" t="s">
        <v>1321</v>
      </c>
      <c r="D100" s="165" t="s">
        <v>1322</v>
      </c>
      <c r="F100" s="164">
        <v>700</v>
      </c>
      <c r="G100" s="165" t="s">
        <v>1323</v>
      </c>
      <c r="H100" s="164" t="s">
        <v>1230</v>
      </c>
      <c r="I100" s="166">
        <v>45781</v>
      </c>
      <c r="J100" s="167">
        <v>4.1666666666666664E-2</v>
      </c>
      <c r="K100" s="167">
        <v>2.0717592592592593E-3</v>
      </c>
      <c r="M100" s="18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">
      <c r="A101" s="156" t="s">
        <v>1177</v>
      </c>
      <c r="B101" s="164">
        <v>59</v>
      </c>
      <c r="C101" s="165">
        <v>26</v>
      </c>
      <c r="D101" s="165">
        <v>31</v>
      </c>
      <c r="F101" s="164">
        <v>25</v>
      </c>
      <c r="G101" s="165" t="s">
        <v>1324</v>
      </c>
      <c r="H101" s="164">
        <v>147</v>
      </c>
      <c r="I101" s="165" t="s">
        <v>1203</v>
      </c>
      <c r="J101" s="167">
        <v>3.471064814814815E-2</v>
      </c>
      <c r="K101" s="167">
        <v>1.6203703703703703E-3</v>
      </c>
      <c r="M101" s="186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7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6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7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6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2.7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26.25">
      <c r="A105" s="4" t="s">
        <v>1654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>
      <c r="A106" s="16" t="s">
        <v>77</v>
      </c>
      <c r="B106" s="101" t="s">
        <v>1138</v>
      </c>
      <c r="C106" s="101" t="s">
        <v>1139</v>
      </c>
      <c r="D106" s="81" t="s">
        <v>32</v>
      </c>
      <c r="E106" s="81" t="s">
        <v>33</v>
      </c>
      <c r="F106" s="81" t="s">
        <v>34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>
      <c r="A107" s="20" t="s">
        <v>30</v>
      </c>
      <c r="B107" s="80">
        <v>13</v>
      </c>
      <c r="C107" s="80">
        <v>0</v>
      </c>
      <c r="D107" s="81">
        <v>2</v>
      </c>
      <c r="E107" s="80">
        <v>23</v>
      </c>
      <c r="F107" s="81">
        <v>3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2.75">
      <c r="A108" s="31" t="s">
        <v>28</v>
      </c>
      <c r="B108" s="81">
        <v>30</v>
      </c>
      <c r="C108" s="81">
        <v>0</v>
      </c>
      <c r="D108" s="81">
        <v>2</v>
      </c>
      <c r="E108" s="80">
        <v>117</v>
      </c>
      <c r="F108" s="81">
        <v>12</v>
      </c>
      <c r="G108" s="1"/>
      <c r="H108" s="1"/>
      <c r="I108" s="1"/>
      <c r="J108" s="1"/>
      <c r="K108" s="1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>
      <c r="A109" s="20" t="s">
        <v>22</v>
      </c>
      <c r="B109" s="104">
        <v>0</v>
      </c>
      <c r="C109" s="104">
        <v>273</v>
      </c>
      <c r="D109" s="12">
        <v>108</v>
      </c>
      <c r="E109" s="12">
        <v>83</v>
      </c>
      <c r="F109" s="12">
        <v>5</v>
      </c>
      <c r="G109" s="1"/>
      <c r="H109" s="1"/>
      <c r="I109" s="1"/>
      <c r="J109" s="1"/>
      <c r="K109" s="1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>
      <c r="A110" s="20" t="s">
        <v>25</v>
      </c>
      <c r="B110" s="12">
        <v>0</v>
      </c>
      <c r="C110" s="12">
        <v>0</v>
      </c>
      <c r="D110" s="21">
        <v>0</v>
      </c>
      <c r="E110" s="12">
        <v>0</v>
      </c>
      <c r="F110" s="21">
        <v>0</v>
      </c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2.75">
      <c r="A111" s="20" t="s">
        <v>18</v>
      </c>
      <c r="B111" s="25">
        <v>0</v>
      </c>
      <c r="C111" s="25">
        <v>0</v>
      </c>
      <c r="D111" s="26">
        <v>0</v>
      </c>
      <c r="E111" s="25">
        <v>0</v>
      </c>
      <c r="F111" s="26">
        <v>0</v>
      </c>
      <c r="L111" s="39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>
      <c r="A112" s="20" t="s">
        <v>12</v>
      </c>
      <c r="B112" s="12">
        <v>10</v>
      </c>
      <c r="C112" s="12">
        <v>0</v>
      </c>
      <c r="D112" s="21">
        <v>15</v>
      </c>
      <c r="E112" s="12">
        <v>157</v>
      </c>
      <c r="F112" s="21">
        <v>21</v>
      </c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>
      <c r="A113" s="16" t="s">
        <v>80</v>
      </c>
      <c r="B113" s="17" t="s">
        <v>1140</v>
      </c>
      <c r="C113" s="17" t="s">
        <v>1141</v>
      </c>
      <c r="D113" s="101" t="s">
        <v>32</v>
      </c>
      <c r="E113" s="18" t="s">
        <v>1325</v>
      </c>
      <c r="F113" s="240" t="s">
        <v>1143</v>
      </c>
      <c r="G113" s="241"/>
      <c r="H113" s="17" t="s">
        <v>505</v>
      </c>
      <c r="I113" s="17" t="s">
        <v>31</v>
      </c>
      <c r="J113" s="18" t="s">
        <v>1144</v>
      </c>
      <c r="K113" s="81" t="s">
        <v>35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75">
      <c r="A114" s="20" t="s">
        <v>21</v>
      </c>
      <c r="B114" s="21">
        <v>113</v>
      </c>
      <c r="C114" s="21">
        <v>73</v>
      </c>
      <c r="D114" s="187">
        <v>33</v>
      </c>
      <c r="E114" s="57">
        <v>1</v>
      </c>
      <c r="F114" s="21">
        <v>135</v>
      </c>
      <c r="G114" s="88">
        <v>46</v>
      </c>
      <c r="H114" s="12">
        <v>189</v>
      </c>
      <c r="I114" s="107">
        <v>46026</v>
      </c>
      <c r="J114" s="60">
        <v>5.4293981481481485E-2</v>
      </c>
      <c r="K114" s="113">
        <v>7.0949074074074074E-3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75">
      <c r="A115" s="20" t="s">
        <v>24</v>
      </c>
      <c r="B115" s="90">
        <v>34</v>
      </c>
      <c r="C115" s="29">
        <v>45</v>
      </c>
      <c r="D115" s="29">
        <v>14</v>
      </c>
      <c r="E115" s="57"/>
      <c r="F115" s="29">
        <v>127</v>
      </c>
      <c r="G115" s="90">
        <v>44</v>
      </c>
      <c r="H115" s="29">
        <v>133</v>
      </c>
      <c r="I115" s="29" t="s">
        <v>8</v>
      </c>
      <c r="J115" s="182">
        <v>5.4594907407407404E-2</v>
      </c>
      <c r="K115" s="114">
        <v>1.5856481481481481E-3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>
      <c r="A116" s="20" t="s">
        <v>1287</v>
      </c>
      <c r="B116" s="90">
        <v>53</v>
      </c>
      <c r="C116" s="90">
        <v>23</v>
      </c>
      <c r="D116" s="29">
        <v>9</v>
      </c>
      <c r="E116" s="57"/>
      <c r="F116" s="29">
        <v>153</v>
      </c>
      <c r="G116" s="90">
        <v>55</v>
      </c>
      <c r="H116" s="29">
        <v>104</v>
      </c>
      <c r="I116" s="29">
        <v>5</v>
      </c>
      <c r="J116" s="114">
        <v>3.3541666666666664E-2</v>
      </c>
      <c r="K116" s="114">
        <v>7.1759259259259259E-4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>
      <c r="A117" s="20" t="s">
        <v>41</v>
      </c>
      <c r="B117" s="29">
        <v>74</v>
      </c>
      <c r="C117" s="29">
        <v>122</v>
      </c>
      <c r="D117" s="188">
        <v>34</v>
      </c>
      <c r="E117" s="57"/>
      <c r="F117" s="21">
        <v>119</v>
      </c>
      <c r="G117" s="88">
        <v>46</v>
      </c>
      <c r="H117" s="104">
        <v>285</v>
      </c>
      <c r="I117" s="107">
        <v>46116</v>
      </c>
      <c r="J117" s="60">
        <v>6.6493055555555555E-2</v>
      </c>
      <c r="K117" s="113">
        <v>3.1828703703703702E-3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>
      <c r="A118" s="20" t="s">
        <v>135</v>
      </c>
      <c r="B118" s="90">
        <v>54</v>
      </c>
      <c r="C118" s="29">
        <v>73</v>
      </c>
      <c r="D118" s="187">
        <v>49</v>
      </c>
      <c r="E118" s="57"/>
      <c r="F118" s="21">
        <v>94</v>
      </c>
      <c r="G118" s="88">
        <v>34</v>
      </c>
      <c r="H118" s="104">
        <v>301</v>
      </c>
      <c r="I118" s="107">
        <v>46026</v>
      </c>
      <c r="J118" s="182">
        <v>7.2604166666666664E-2</v>
      </c>
      <c r="K118" s="113">
        <v>6.7129629629629631E-3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>
      <c r="A119" s="20" t="s">
        <v>796</v>
      </c>
      <c r="B119" s="29">
        <v>209</v>
      </c>
      <c r="C119" s="29">
        <v>55</v>
      </c>
      <c r="D119" s="188">
        <v>39</v>
      </c>
      <c r="E119" s="57"/>
      <c r="F119" s="127" t="s">
        <v>1186</v>
      </c>
      <c r="G119" s="150" t="s">
        <v>1342</v>
      </c>
      <c r="H119" s="115" t="s">
        <v>1343</v>
      </c>
      <c r="I119" s="107">
        <v>46026</v>
      </c>
      <c r="J119" s="60">
        <v>8.3252314814814821E-2</v>
      </c>
      <c r="K119" s="152" t="s">
        <v>1344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>
      <c r="A120" s="20" t="s">
        <v>209</v>
      </c>
      <c r="B120" s="103">
        <v>109</v>
      </c>
      <c r="C120" s="103">
        <v>28</v>
      </c>
      <c r="D120" s="187">
        <v>33</v>
      </c>
      <c r="E120" s="57">
        <v>2</v>
      </c>
      <c r="F120" s="21">
        <v>120</v>
      </c>
      <c r="G120" s="87">
        <v>36</v>
      </c>
      <c r="H120" s="103">
        <v>195</v>
      </c>
      <c r="I120" s="107">
        <v>46146</v>
      </c>
      <c r="J120" s="9">
        <v>2.1990740740740741E-2</v>
      </c>
      <c r="K120" s="109">
        <v>8.9120370370370373E-4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>
      <c r="A121" s="20" t="s">
        <v>86</v>
      </c>
      <c r="B121" s="90">
        <v>32</v>
      </c>
      <c r="C121" s="90">
        <v>14</v>
      </c>
      <c r="D121" s="21">
        <v>16</v>
      </c>
      <c r="E121" s="57"/>
      <c r="F121" s="127" t="s">
        <v>1345</v>
      </c>
      <c r="G121" s="150" t="s">
        <v>1169</v>
      </c>
      <c r="H121" s="29">
        <v>277</v>
      </c>
      <c r="I121" s="149">
        <v>46206</v>
      </c>
      <c r="J121" s="60">
        <v>5.1342592592592592E-2</v>
      </c>
      <c r="K121" s="113">
        <v>2.2685185185185187E-3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>
      <c r="A122" s="20" t="s">
        <v>87</v>
      </c>
      <c r="B122" s="151">
        <v>39</v>
      </c>
      <c r="C122" s="151">
        <v>16</v>
      </c>
      <c r="D122" s="189">
        <v>37</v>
      </c>
      <c r="E122" s="57">
        <v>4</v>
      </c>
      <c r="F122" s="21">
        <v>141</v>
      </c>
      <c r="G122" s="87">
        <v>34</v>
      </c>
      <c r="H122" s="103">
        <v>437</v>
      </c>
      <c r="I122" s="107">
        <v>46085</v>
      </c>
      <c r="J122" s="60">
        <v>4.3379629629629629E-2</v>
      </c>
      <c r="K122" s="113">
        <v>2.1527777777777778E-3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>
      <c r="A123" s="20" t="s">
        <v>23</v>
      </c>
      <c r="B123" s="29">
        <v>0</v>
      </c>
      <c r="C123" s="29">
        <v>0</v>
      </c>
      <c r="D123" s="29">
        <v>1</v>
      </c>
      <c r="E123" s="57"/>
      <c r="F123" s="21">
        <v>2</v>
      </c>
      <c r="G123" s="21">
        <v>0</v>
      </c>
      <c r="H123" s="21">
        <v>5</v>
      </c>
      <c r="I123" s="178" t="s">
        <v>8</v>
      </c>
      <c r="J123" s="109">
        <v>2.0381944444444446E-2</v>
      </c>
      <c r="K123" s="109">
        <v>1.0648148148148149E-3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75">
      <c r="A124" s="20" t="s">
        <v>39</v>
      </c>
      <c r="B124" s="29">
        <v>76</v>
      </c>
      <c r="C124" s="29">
        <v>50</v>
      </c>
      <c r="D124" s="190">
        <v>57</v>
      </c>
      <c r="E124" s="57"/>
      <c r="F124" s="21">
        <v>170</v>
      </c>
      <c r="G124" s="87">
        <v>61</v>
      </c>
      <c r="H124" s="29">
        <v>499</v>
      </c>
      <c r="I124" s="107">
        <v>46116</v>
      </c>
      <c r="J124" s="9">
        <v>4.099537037037037E-2</v>
      </c>
      <c r="K124" s="113">
        <v>2.8703703703703703E-3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75">
      <c r="A125" s="20" t="s">
        <v>1300</v>
      </c>
      <c r="B125" s="29">
        <v>98</v>
      </c>
      <c r="C125" s="29">
        <v>49</v>
      </c>
      <c r="D125" s="190">
        <v>27</v>
      </c>
      <c r="E125" s="57"/>
      <c r="F125" s="21" t="s">
        <v>1145</v>
      </c>
      <c r="G125" s="21" t="s">
        <v>1145</v>
      </c>
      <c r="H125" s="29">
        <v>248</v>
      </c>
      <c r="I125" s="107">
        <v>46116</v>
      </c>
      <c r="J125" s="9">
        <v>3.6006944444444446E-2</v>
      </c>
      <c r="K125" s="109">
        <v>1.8749999999999999E-3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>
      <c r="A126" s="20" t="s">
        <v>512</v>
      </c>
      <c r="B126" s="90">
        <v>55</v>
      </c>
      <c r="C126" s="90">
        <v>7</v>
      </c>
      <c r="D126" s="190">
        <v>39</v>
      </c>
      <c r="E126" s="57"/>
      <c r="F126" s="21">
        <v>24</v>
      </c>
      <c r="G126" s="21">
        <v>0</v>
      </c>
      <c r="H126" s="29">
        <v>420</v>
      </c>
      <c r="I126" s="107">
        <v>46177</v>
      </c>
      <c r="J126" s="9">
        <v>4.1458333333333333E-2</v>
      </c>
      <c r="K126" s="113">
        <v>6.2615740740740739E-3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75">
      <c r="A127" s="20" t="s">
        <v>1207</v>
      </c>
      <c r="B127" s="29">
        <v>150</v>
      </c>
      <c r="C127" s="90">
        <v>15</v>
      </c>
      <c r="D127" s="190">
        <v>43</v>
      </c>
      <c r="E127" s="57"/>
      <c r="F127" s="21">
        <v>208</v>
      </c>
      <c r="G127" s="88">
        <v>88</v>
      </c>
      <c r="H127" s="104">
        <v>314</v>
      </c>
      <c r="I127" s="149">
        <v>46115</v>
      </c>
      <c r="J127" s="60">
        <v>6.1886574074074073E-2</v>
      </c>
      <c r="K127" s="113">
        <v>6.2500000000000003E-3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75">
      <c r="A128" s="20" t="s">
        <v>93</v>
      </c>
      <c r="B128" s="90">
        <v>17</v>
      </c>
      <c r="C128" s="90">
        <v>9</v>
      </c>
      <c r="D128" s="29">
        <v>14</v>
      </c>
      <c r="E128" s="57"/>
      <c r="F128" s="178">
        <v>87</v>
      </c>
      <c r="G128" s="87">
        <v>16</v>
      </c>
      <c r="H128" s="29">
        <v>137</v>
      </c>
      <c r="I128" s="107">
        <v>46057</v>
      </c>
      <c r="J128" s="60">
        <v>4.9050925925925928E-2</v>
      </c>
      <c r="K128" s="113">
        <v>6.122685185185185E-3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>
      <c r="A129" s="20" t="s">
        <v>515</v>
      </c>
      <c r="B129" s="29">
        <v>2</v>
      </c>
      <c r="C129" s="29">
        <v>3</v>
      </c>
      <c r="D129" s="29">
        <v>2</v>
      </c>
      <c r="E129" s="57">
        <v>1</v>
      </c>
      <c r="F129" s="21">
        <v>0</v>
      </c>
      <c r="G129" s="21">
        <v>0</v>
      </c>
      <c r="H129" s="29">
        <v>57</v>
      </c>
      <c r="I129" s="107">
        <v>46238</v>
      </c>
      <c r="J129" s="9">
        <v>3.6979166666666667E-2</v>
      </c>
      <c r="K129" s="109">
        <v>6.134259259259259E-4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75">
      <c r="A130" s="20" t="s">
        <v>1303</v>
      </c>
      <c r="B130" s="29">
        <v>244</v>
      </c>
      <c r="C130" s="29">
        <v>45</v>
      </c>
      <c r="D130" s="190">
        <v>33</v>
      </c>
      <c r="E130" s="57">
        <v>3</v>
      </c>
      <c r="F130" s="21" t="s">
        <v>1145</v>
      </c>
      <c r="G130" s="21" t="s">
        <v>1145</v>
      </c>
      <c r="H130" s="104">
        <v>372</v>
      </c>
      <c r="I130" s="107">
        <v>46116</v>
      </c>
      <c r="J130" s="179">
        <v>3.1828703703703706E-2</v>
      </c>
      <c r="K130" s="109">
        <v>1.5046296296296296E-3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>
      <c r="A131" s="20" t="s">
        <v>814</v>
      </c>
      <c r="B131" s="29">
        <v>98</v>
      </c>
      <c r="C131" s="29">
        <v>47</v>
      </c>
      <c r="D131" s="29">
        <v>17</v>
      </c>
      <c r="E131" s="57"/>
      <c r="F131" s="21">
        <v>219</v>
      </c>
      <c r="G131" s="87">
        <v>102</v>
      </c>
      <c r="H131" s="12">
        <v>309</v>
      </c>
      <c r="I131" s="82">
        <v>46085</v>
      </c>
      <c r="J131" s="174">
        <v>4.6493055555555558E-2</v>
      </c>
      <c r="K131" s="113">
        <v>7.1990740740740739E-3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>
      <c r="A132" s="20" t="s">
        <v>1235</v>
      </c>
      <c r="B132" s="90">
        <v>37</v>
      </c>
      <c r="C132" s="29">
        <v>26</v>
      </c>
      <c r="D132" s="190">
        <v>54</v>
      </c>
      <c r="E132" s="57"/>
      <c r="F132" s="21">
        <v>138</v>
      </c>
      <c r="G132" s="87">
        <v>59</v>
      </c>
      <c r="H132" s="21">
        <v>354</v>
      </c>
      <c r="I132" s="82">
        <v>46116</v>
      </c>
      <c r="J132" s="60">
        <v>4.6921296296296294E-2</v>
      </c>
      <c r="K132" s="113">
        <v>3.449074074074074E-3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>
      <c r="A133" s="20" t="s">
        <v>1346</v>
      </c>
      <c r="B133" s="29">
        <v>12</v>
      </c>
      <c r="C133" s="90">
        <v>16</v>
      </c>
      <c r="D133" s="29">
        <v>3</v>
      </c>
      <c r="E133" s="57">
        <v>4</v>
      </c>
      <c r="F133" s="21">
        <v>157</v>
      </c>
      <c r="G133" s="87">
        <v>75</v>
      </c>
      <c r="H133" s="29">
        <v>56</v>
      </c>
      <c r="I133" s="29">
        <v>5</v>
      </c>
      <c r="J133" s="91">
        <v>0.16866898148148149</v>
      </c>
      <c r="K133" s="113">
        <v>6.6053240740740746E-2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>
      <c r="A134" s="20" t="s">
        <v>1216</v>
      </c>
      <c r="B134" s="90">
        <v>38</v>
      </c>
      <c r="C134" s="29">
        <v>55</v>
      </c>
      <c r="D134" s="29">
        <v>22</v>
      </c>
      <c r="E134" s="57">
        <v>3</v>
      </c>
      <c r="F134" s="21">
        <v>106</v>
      </c>
      <c r="G134" s="87">
        <v>57</v>
      </c>
      <c r="H134" s="29">
        <v>249</v>
      </c>
      <c r="I134" s="107">
        <v>46116</v>
      </c>
      <c r="J134" s="153">
        <v>3.4942129629629629E-2</v>
      </c>
      <c r="K134" s="113">
        <v>3.3101851851851851E-3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>
      <c r="A135" s="20" t="s">
        <v>1347</v>
      </c>
      <c r="B135" s="29">
        <v>4</v>
      </c>
      <c r="C135" s="90">
        <v>19</v>
      </c>
      <c r="D135" s="29">
        <v>1</v>
      </c>
      <c r="E135" s="57"/>
      <c r="F135" s="152" t="s">
        <v>1348</v>
      </c>
      <c r="G135" s="87">
        <v>58</v>
      </c>
      <c r="H135" s="29">
        <v>46</v>
      </c>
      <c r="I135" s="107">
        <v>46207</v>
      </c>
      <c r="J135" s="91">
        <v>0.12232638888888889</v>
      </c>
      <c r="K135" s="154" t="s">
        <v>1349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>
      <c r="A136" s="20" t="s">
        <v>27</v>
      </c>
      <c r="B136" s="29">
        <v>98</v>
      </c>
      <c r="C136" s="29">
        <v>43</v>
      </c>
      <c r="D136" s="190">
        <v>37</v>
      </c>
      <c r="E136" s="57"/>
      <c r="F136" s="152" t="s">
        <v>1290</v>
      </c>
      <c r="G136" s="87">
        <v>14</v>
      </c>
      <c r="H136" s="29">
        <v>332</v>
      </c>
      <c r="I136" s="107">
        <v>46026</v>
      </c>
      <c r="J136" s="91">
        <v>4.7754629629629633E-2</v>
      </c>
      <c r="K136" s="154" t="s">
        <v>1350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>
      <c r="A137" s="20" t="s">
        <v>38</v>
      </c>
      <c r="B137" s="29">
        <v>176</v>
      </c>
      <c r="C137" s="29">
        <v>40</v>
      </c>
      <c r="D137" s="29">
        <v>27</v>
      </c>
      <c r="E137" s="57">
        <v>1</v>
      </c>
      <c r="F137" s="21">
        <v>176</v>
      </c>
      <c r="G137" s="154" t="s">
        <v>1123</v>
      </c>
      <c r="H137" s="152" t="s">
        <v>1345</v>
      </c>
      <c r="I137" s="21">
        <v>4</v>
      </c>
      <c r="J137" s="9">
        <v>3.2245370370370369E-2</v>
      </c>
      <c r="K137" s="113">
        <v>4.8842592592592592E-3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>
      <c r="A138" s="20" t="s">
        <v>519</v>
      </c>
      <c r="B138" s="90">
        <v>17</v>
      </c>
      <c r="C138" s="90">
        <v>2</v>
      </c>
      <c r="D138" s="29">
        <v>18</v>
      </c>
      <c r="E138" s="57"/>
      <c r="F138" s="21">
        <v>209</v>
      </c>
      <c r="G138" s="87">
        <v>97</v>
      </c>
      <c r="H138" s="21">
        <v>348</v>
      </c>
      <c r="I138" s="107">
        <v>46085</v>
      </c>
      <c r="J138" s="60">
        <v>6.9606481481481478E-2</v>
      </c>
      <c r="K138" s="113">
        <v>2.9513888888888888E-3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>
      <c r="A139" s="20" t="s">
        <v>522</v>
      </c>
      <c r="B139" s="29">
        <v>167</v>
      </c>
      <c r="C139" s="29">
        <v>44</v>
      </c>
      <c r="D139" s="29">
        <v>26</v>
      </c>
      <c r="E139" s="57"/>
      <c r="F139" s="21">
        <v>59</v>
      </c>
      <c r="G139" s="87">
        <v>15</v>
      </c>
      <c r="H139" s="29">
        <v>248</v>
      </c>
      <c r="I139" s="149">
        <v>46145</v>
      </c>
      <c r="J139" s="60">
        <v>7.4513888888888893E-2</v>
      </c>
      <c r="K139" s="113">
        <v>8.472222222222223E-3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>
      <c r="A140" s="20" t="s">
        <v>42</v>
      </c>
      <c r="B140" s="115" t="s">
        <v>1233</v>
      </c>
      <c r="C140" s="115" t="s">
        <v>1233</v>
      </c>
      <c r="D140" s="191" t="s">
        <v>1351</v>
      </c>
      <c r="E140" s="57"/>
      <c r="F140" s="21">
        <v>202</v>
      </c>
      <c r="G140" s="87">
        <v>106</v>
      </c>
      <c r="H140" s="115" t="s">
        <v>1352</v>
      </c>
      <c r="I140" s="107">
        <v>46177</v>
      </c>
      <c r="J140" s="60">
        <v>5.1840277777777777E-2</v>
      </c>
      <c r="K140" s="113">
        <v>2.2800925925925927E-3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">
      <c r="A141" s="156" t="s">
        <v>15</v>
      </c>
      <c r="B141" s="159" t="s">
        <v>1353</v>
      </c>
      <c r="C141" s="159" t="s">
        <v>1354</v>
      </c>
      <c r="D141" s="170">
        <v>812</v>
      </c>
      <c r="E141" s="185"/>
      <c r="F141" s="170">
        <v>2646</v>
      </c>
      <c r="G141" s="170">
        <v>1043</v>
      </c>
      <c r="H141" s="184">
        <v>5915</v>
      </c>
      <c r="I141" s="192">
        <v>4.3099999999999996</v>
      </c>
      <c r="J141" s="160">
        <v>5.5381944444444442E-2</v>
      </c>
      <c r="K141" s="160">
        <v>6.2384259259259259E-3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">
      <c r="A142" s="156" t="s">
        <v>1174</v>
      </c>
      <c r="B142" s="177" t="s">
        <v>1320</v>
      </c>
      <c r="C142" s="177" t="s">
        <v>1321</v>
      </c>
      <c r="D142" s="165" t="s">
        <v>1322</v>
      </c>
      <c r="F142" s="164">
        <v>700</v>
      </c>
      <c r="G142" s="165" t="s">
        <v>1323</v>
      </c>
      <c r="H142" s="164" t="s">
        <v>1230</v>
      </c>
      <c r="I142" s="166">
        <v>45781</v>
      </c>
      <c r="J142" s="167">
        <v>4.1666666666666664E-2</v>
      </c>
      <c r="K142" s="167">
        <v>2.0717592592592593E-3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">
      <c r="A143" s="156" t="s">
        <v>1177</v>
      </c>
      <c r="B143" s="164">
        <v>59</v>
      </c>
      <c r="C143" s="165">
        <v>26</v>
      </c>
      <c r="D143" s="165">
        <v>31</v>
      </c>
      <c r="F143" s="164">
        <v>25</v>
      </c>
      <c r="G143" s="165" t="s">
        <v>1324</v>
      </c>
      <c r="H143" s="164">
        <v>147</v>
      </c>
      <c r="I143" s="165" t="s">
        <v>1203</v>
      </c>
      <c r="J143" s="167">
        <v>3.471064814814815E-2</v>
      </c>
      <c r="K143" s="167">
        <v>1.6203703703703703E-3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26.25">
      <c r="A147" s="4" t="s">
        <v>1655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>
      <c r="A148" s="16" t="s">
        <v>77</v>
      </c>
      <c r="B148" s="101" t="s">
        <v>1138</v>
      </c>
      <c r="C148" s="101" t="s">
        <v>1139</v>
      </c>
      <c r="D148" s="81" t="s">
        <v>32</v>
      </c>
      <c r="E148" s="81" t="s">
        <v>33</v>
      </c>
      <c r="F148" s="81" t="s">
        <v>34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>
      <c r="A149" s="20" t="s">
        <v>30</v>
      </c>
      <c r="B149" s="80">
        <v>2</v>
      </c>
      <c r="C149" s="80">
        <v>0</v>
      </c>
      <c r="D149" s="81">
        <v>2</v>
      </c>
      <c r="E149" s="80">
        <v>0</v>
      </c>
      <c r="F149" s="81">
        <v>0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>
      <c r="A150" s="31" t="s">
        <v>28</v>
      </c>
      <c r="B150" s="80">
        <v>0</v>
      </c>
      <c r="C150" s="80">
        <v>0</v>
      </c>
      <c r="D150" s="81">
        <v>3</v>
      </c>
      <c r="E150" s="80">
        <v>109</v>
      </c>
      <c r="F150" s="81">
        <v>14</v>
      </c>
      <c r="G150" s="1"/>
      <c r="H150" s="1"/>
      <c r="I150" s="1"/>
      <c r="J150" s="1"/>
      <c r="K150" s="1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>
      <c r="A151" s="20" t="s">
        <v>22</v>
      </c>
      <c r="B151" s="80">
        <v>0</v>
      </c>
      <c r="C151" s="104">
        <v>286</v>
      </c>
      <c r="D151" s="12">
        <v>35</v>
      </c>
      <c r="E151" s="12">
        <v>139</v>
      </c>
      <c r="F151" s="12">
        <v>3</v>
      </c>
      <c r="G151" s="1"/>
      <c r="H151" s="1"/>
      <c r="I151" s="1"/>
      <c r="J151" s="1"/>
      <c r="K151" s="1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>
      <c r="A152" s="20" t="s">
        <v>25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>
      <c r="A153" s="20" t="s">
        <v>18</v>
      </c>
      <c r="B153" s="25">
        <v>0</v>
      </c>
      <c r="C153" s="25">
        <v>0</v>
      </c>
      <c r="D153" s="26">
        <v>1</v>
      </c>
      <c r="E153" s="25">
        <v>2</v>
      </c>
      <c r="F153" s="26">
        <v>0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>
      <c r="A154" s="20" t="s">
        <v>12</v>
      </c>
      <c r="B154" s="12">
        <v>0</v>
      </c>
      <c r="C154" s="12">
        <v>0</v>
      </c>
      <c r="D154" s="21">
        <v>11</v>
      </c>
      <c r="E154" s="12">
        <v>95</v>
      </c>
      <c r="F154" s="21">
        <v>50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>
      <c r="A155" s="20" t="s">
        <v>1235</v>
      </c>
      <c r="B155" s="29">
        <v>54</v>
      </c>
      <c r="C155" s="25">
        <v>0</v>
      </c>
      <c r="D155" s="29">
        <v>57</v>
      </c>
      <c r="E155" s="57">
        <v>5</v>
      </c>
      <c r="F155" s="21">
        <v>16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>
      <c r="A156" s="20" t="s">
        <v>519</v>
      </c>
      <c r="B156" s="29">
        <v>7</v>
      </c>
      <c r="C156" s="12">
        <v>0</v>
      </c>
      <c r="D156" s="29">
        <v>15</v>
      </c>
      <c r="E156" s="57">
        <v>0</v>
      </c>
      <c r="F156" s="21">
        <v>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>
      <c r="A157" s="16" t="s">
        <v>80</v>
      </c>
      <c r="B157" s="17" t="s">
        <v>1140</v>
      </c>
      <c r="C157" s="17" t="s">
        <v>1141</v>
      </c>
      <c r="D157" s="101" t="s">
        <v>32</v>
      </c>
      <c r="E157" s="18" t="s">
        <v>1325</v>
      </c>
      <c r="F157" s="240" t="s">
        <v>1143</v>
      </c>
      <c r="G157" s="241"/>
      <c r="H157" s="17" t="s">
        <v>505</v>
      </c>
      <c r="I157" s="17" t="s">
        <v>31</v>
      </c>
      <c r="J157" s="18" t="s">
        <v>1144</v>
      </c>
      <c r="K157" s="81" t="s">
        <v>35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>
      <c r="A158" s="20" t="s">
        <v>21</v>
      </c>
      <c r="B158" s="21">
        <v>133</v>
      </c>
      <c r="C158" s="21">
        <v>87</v>
      </c>
      <c r="D158" s="187">
        <v>43</v>
      </c>
      <c r="E158" s="57">
        <v>2</v>
      </c>
      <c r="F158" s="21">
        <v>110</v>
      </c>
      <c r="G158" s="88">
        <v>62</v>
      </c>
      <c r="H158" s="12">
        <v>243</v>
      </c>
      <c r="I158" s="107">
        <v>46207</v>
      </c>
      <c r="J158" s="60">
        <v>4.1134259259259259E-2</v>
      </c>
      <c r="K158" s="113">
        <v>4.1435185185185186E-3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>
      <c r="A159" s="20" t="s">
        <v>24</v>
      </c>
      <c r="B159" s="90">
        <v>5</v>
      </c>
      <c r="C159" s="29">
        <v>49</v>
      </c>
      <c r="D159" s="29">
        <v>2</v>
      </c>
      <c r="E159" s="57">
        <v>0</v>
      </c>
      <c r="F159" s="29">
        <v>109</v>
      </c>
      <c r="G159" s="90">
        <v>55</v>
      </c>
      <c r="H159" s="29">
        <v>135</v>
      </c>
      <c r="I159" s="29">
        <v>4</v>
      </c>
      <c r="J159" s="114">
        <v>2.8703703703703703E-2</v>
      </c>
      <c r="K159" s="114">
        <v>3.7037037037037035E-4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>
      <c r="A160" s="20" t="s">
        <v>1287</v>
      </c>
      <c r="B160" s="29">
        <v>144</v>
      </c>
      <c r="C160" s="90">
        <v>35</v>
      </c>
      <c r="D160" s="29">
        <v>9</v>
      </c>
      <c r="E160" s="57">
        <v>0</v>
      </c>
      <c r="F160" s="29">
        <v>185</v>
      </c>
      <c r="G160" s="90">
        <v>106</v>
      </c>
      <c r="H160" s="29">
        <v>365</v>
      </c>
      <c r="I160" s="149">
        <v>46145</v>
      </c>
      <c r="J160" s="182">
        <v>5.2974537037037035E-2</v>
      </c>
      <c r="K160" s="114">
        <v>2.7777777777777778E-4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>
      <c r="A161" s="20" t="s">
        <v>41</v>
      </c>
      <c r="B161" s="29">
        <v>100</v>
      </c>
      <c r="C161" s="29">
        <v>110</v>
      </c>
      <c r="D161" s="12">
        <v>26</v>
      </c>
      <c r="E161" s="57">
        <v>0</v>
      </c>
      <c r="F161" s="21">
        <v>232</v>
      </c>
      <c r="G161" s="88">
        <v>101</v>
      </c>
      <c r="H161" s="104">
        <v>230</v>
      </c>
      <c r="I161" s="107">
        <v>46269</v>
      </c>
      <c r="J161" s="60">
        <v>4.9953703703703702E-2</v>
      </c>
      <c r="K161" s="109">
        <v>1.9675925925925924E-3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>
      <c r="A162" s="20" t="s">
        <v>135</v>
      </c>
      <c r="B162" s="29">
        <v>100</v>
      </c>
      <c r="C162" s="29">
        <v>116</v>
      </c>
      <c r="D162" s="21">
        <v>27</v>
      </c>
      <c r="E162" s="57">
        <v>3</v>
      </c>
      <c r="F162" s="21">
        <v>145</v>
      </c>
      <c r="G162" s="88">
        <v>71</v>
      </c>
      <c r="H162" s="104">
        <v>325</v>
      </c>
      <c r="I162" s="149">
        <v>46084</v>
      </c>
      <c r="J162" s="182">
        <v>5.527777777777778E-2</v>
      </c>
      <c r="K162" s="113">
        <v>4.3750000000000004E-3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>
      <c r="A163" s="20" t="s">
        <v>796</v>
      </c>
      <c r="B163" s="29">
        <v>387</v>
      </c>
      <c r="C163" s="90">
        <v>29</v>
      </c>
      <c r="D163" s="188">
        <v>41</v>
      </c>
      <c r="E163" s="57">
        <v>0</v>
      </c>
      <c r="F163" s="127" t="s">
        <v>1355</v>
      </c>
      <c r="G163" s="150" t="s">
        <v>1233</v>
      </c>
      <c r="H163" s="115" t="s">
        <v>1356</v>
      </c>
      <c r="I163" s="107">
        <v>46057</v>
      </c>
      <c r="J163" s="60">
        <v>4.3298611111111114E-2</v>
      </c>
      <c r="K163" s="152" t="s">
        <v>1357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>
      <c r="A164" s="20" t="s">
        <v>209</v>
      </c>
      <c r="B164" s="103">
        <v>131</v>
      </c>
      <c r="C164" s="103">
        <v>56</v>
      </c>
      <c r="D164" s="187">
        <v>40</v>
      </c>
      <c r="E164" s="57">
        <v>2</v>
      </c>
      <c r="F164" s="21">
        <v>139</v>
      </c>
      <c r="G164" s="87">
        <v>76</v>
      </c>
      <c r="H164" s="103">
        <v>280</v>
      </c>
      <c r="I164" s="149">
        <v>46237</v>
      </c>
      <c r="J164" s="9">
        <v>2.6180555555555554E-2</v>
      </c>
      <c r="K164" s="109">
        <v>9.1435185185185185E-4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>
      <c r="A165" s="20" t="s">
        <v>86</v>
      </c>
      <c r="B165" s="90">
        <v>43</v>
      </c>
      <c r="C165" s="90">
        <v>29</v>
      </c>
      <c r="D165" s="21">
        <v>12</v>
      </c>
      <c r="E165" s="57">
        <v>0</v>
      </c>
      <c r="F165" s="127" t="s">
        <v>1358</v>
      </c>
      <c r="G165" s="150" t="s">
        <v>1359</v>
      </c>
      <c r="H165" s="29">
        <v>466</v>
      </c>
      <c r="I165" s="107">
        <v>46146</v>
      </c>
      <c r="J165" s="9">
        <v>3.3125000000000002E-2</v>
      </c>
      <c r="K165" s="109">
        <v>7.6388888888888893E-4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>
      <c r="A166" s="20" t="s">
        <v>87</v>
      </c>
      <c r="B166" s="151">
        <v>38</v>
      </c>
      <c r="C166" s="151">
        <v>36</v>
      </c>
      <c r="D166" s="189">
        <v>44</v>
      </c>
      <c r="E166" s="57">
        <v>7</v>
      </c>
      <c r="F166" s="21">
        <v>282</v>
      </c>
      <c r="G166" s="87">
        <v>116</v>
      </c>
      <c r="H166" s="103">
        <v>639</v>
      </c>
      <c r="I166" s="29">
        <v>4</v>
      </c>
      <c r="J166" s="9">
        <v>3.4131944444444444E-2</v>
      </c>
      <c r="K166" s="109">
        <v>6.3657407407407413E-4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>
      <c r="A167" s="20" t="s">
        <v>39</v>
      </c>
      <c r="B167" s="29">
        <v>98</v>
      </c>
      <c r="C167" s="29">
        <v>56</v>
      </c>
      <c r="D167" s="190">
        <v>53</v>
      </c>
      <c r="E167" s="57">
        <v>0</v>
      </c>
      <c r="F167" s="21">
        <v>182</v>
      </c>
      <c r="G167" s="87">
        <v>126</v>
      </c>
      <c r="H167" s="29">
        <v>491</v>
      </c>
      <c r="I167" s="107">
        <v>46085</v>
      </c>
      <c r="J167" s="9">
        <v>2.6377314814814815E-2</v>
      </c>
      <c r="K167" s="109">
        <v>1.238425925925926E-3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75">
      <c r="A168" s="20" t="s">
        <v>1300</v>
      </c>
      <c r="B168" s="90">
        <v>28</v>
      </c>
      <c r="C168" s="29">
        <v>38</v>
      </c>
      <c r="D168" s="29">
        <v>34</v>
      </c>
      <c r="E168" s="57">
        <v>0</v>
      </c>
      <c r="F168" s="21" t="s">
        <v>1145</v>
      </c>
      <c r="G168" s="21" t="s">
        <v>1145</v>
      </c>
      <c r="H168" s="29">
        <v>346</v>
      </c>
      <c r="I168" s="149">
        <v>46268</v>
      </c>
      <c r="J168" s="9">
        <v>3.2523148148148148E-2</v>
      </c>
      <c r="K168" s="109">
        <v>2.0138888888888888E-3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75">
      <c r="A169" s="20" t="s">
        <v>512</v>
      </c>
      <c r="B169" s="29">
        <v>136</v>
      </c>
      <c r="C169" s="29">
        <v>60</v>
      </c>
      <c r="D169" s="190">
        <v>50</v>
      </c>
      <c r="E169" s="57">
        <v>0</v>
      </c>
      <c r="F169" s="21">
        <v>32</v>
      </c>
      <c r="G169" s="21">
        <v>15</v>
      </c>
      <c r="H169" s="29">
        <v>586</v>
      </c>
      <c r="I169" s="107">
        <v>46026</v>
      </c>
      <c r="J169" s="9">
        <v>3.3020833333333333E-2</v>
      </c>
      <c r="K169" s="113">
        <v>2.3842592592592591E-3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>
      <c r="A170" s="20" t="s">
        <v>1207</v>
      </c>
      <c r="B170" s="90">
        <v>42</v>
      </c>
      <c r="C170" s="90">
        <v>8</v>
      </c>
      <c r="D170" s="190">
        <v>55</v>
      </c>
      <c r="E170" s="57">
        <v>0</v>
      </c>
      <c r="F170" s="21">
        <v>81</v>
      </c>
      <c r="G170" s="12">
        <v>10</v>
      </c>
      <c r="H170" s="104">
        <v>260</v>
      </c>
      <c r="I170" s="107">
        <v>46207</v>
      </c>
      <c r="J170" s="60">
        <v>4.0567129629629627E-2</v>
      </c>
      <c r="K170" s="113">
        <v>2.9166666666666668E-3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>
      <c r="A171" s="20" t="s">
        <v>93</v>
      </c>
      <c r="B171" s="90">
        <v>2</v>
      </c>
      <c r="C171" s="90">
        <v>3</v>
      </c>
      <c r="D171" s="29">
        <v>1</v>
      </c>
      <c r="E171" s="57">
        <v>0</v>
      </c>
      <c r="F171" s="178">
        <v>66</v>
      </c>
      <c r="G171" s="21">
        <v>13</v>
      </c>
      <c r="H171" s="29">
        <v>45</v>
      </c>
      <c r="I171" s="29">
        <v>4</v>
      </c>
      <c r="J171" s="9">
        <v>2.1122685185185185E-2</v>
      </c>
      <c r="K171" s="113">
        <v>3.1828703703703702E-3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>
      <c r="A172" s="20" t="s">
        <v>515</v>
      </c>
      <c r="B172" s="29">
        <v>0</v>
      </c>
      <c r="C172" s="29">
        <v>0</v>
      </c>
      <c r="D172" s="29">
        <v>2</v>
      </c>
      <c r="E172" s="57">
        <v>0</v>
      </c>
      <c r="F172" s="21">
        <v>0</v>
      </c>
      <c r="G172" s="21">
        <v>0</v>
      </c>
      <c r="H172" s="29">
        <v>208</v>
      </c>
      <c r="I172" s="107">
        <v>46085</v>
      </c>
      <c r="J172" s="60">
        <v>5.347222222222222E-2</v>
      </c>
      <c r="K172" s="109">
        <v>7.5231481481481482E-4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>
      <c r="A173" s="20" t="s">
        <v>1303</v>
      </c>
      <c r="B173" s="29">
        <v>303</v>
      </c>
      <c r="C173" s="29">
        <v>57</v>
      </c>
      <c r="D173" s="29">
        <v>27</v>
      </c>
      <c r="E173" s="57">
        <v>2</v>
      </c>
      <c r="F173" s="21" t="s">
        <v>1145</v>
      </c>
      <c r="G173" s="21" t="s">
        <v>1145</v>
      </c>
      <c r="H173" s="104">
        <v>420</v>
      </c>
      <c r="I173" s="29">
        <v>4</v>
      </c>
      <c r="J173" s="193">
        <v>2.508101851851852E-2</v>
      </c>
      <c r="K173" s="109">
        <v>1.0069444444444444E-3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>
      <c r="A174" s="20" t="s">
        <v>814</v>
      </c>
      <c r="B174" s="90">
        <v>34</v>
      </c>
      <c r="C174" s="29">
        <v>55</v>
      </c>
      <c r="D174" s="29">
        <v>20</v>
      </c>
      <c r="E174" s="57">
        <v>0</v>
      </c>
      <c r="F174" s="21">
        <v>176</v>
      </c>
      <c r="G174" s="87">
        <v>104</v>
      </c>
      <c r="H174" s="12">
        <v>302</v>
      </c>
      <c r="I174" s="21">
        <v>4</v>
      </c>
      <c r="J174" s="194">
        <v>3.6701388888888888E-2</v>
      </c>
      <c r="K174" s="113">
        <v>4.5717592592592589E-3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>
      <c r="A175" s="20" t="s">
        <v>1360</v>
      </c>
      <c r="B175" s="90">
        <v>6</v>
      </c>
      <c r="C175" s="90">
        <v>36</v>
      </c>
      <c r="D175" s="29">
        <v>4</v>
      </c>
      <c r="E175" s="57">
        <v>2</v>
      </c>
      <c r="F175" s="21">
        <v>213</v>
      </c>
      <c r="G175" s="87">
        <v>128</v>
      </c>
      <c r="H175" s="29">
        <v>154</v>
      </c>
      <c r="I175" s="107">
        <v>46238</v>
      </c>
      <c r="J175" s="91">
        <v>4.9594907407407407E-2</v>
      </c>
      <c r="K175" s="109">
        <v>2.0601851851851853E-3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75">
      <c r="A176" s="20" t="s">
        <v>1216</v>
      </c>
      <c r="B176" s="90">
        <v>76</v>
      </c>
      <c r="C176" s="29">
        <v>118</v>
      </c>
      <c r="D176" s="29">
        <v>4</v>
      </c>
      <c r="E176" s="57">
        <v>2</v>
      </c>
      <c r="F176" s="21">
        <v>73</v>
      </c>
      <c r="G176" s="87">
        <v>63</v>
      </c>
      <c r="H176" s="29">
        <v>398</v>
      </c>
      <c r="I176" s="107">
        <v>46057</v>
      </c>
      <c r="J176" s="153">
        <v>2.6296296296296297E-2</v>
      </c>
      <c r="K176" s="109">
        <v>1.4120370370370369E-3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>
      <c r="A177" s="20" t="s">
        <v>1361</v>
      </c>
      <c r="B177" s="90">
        <v>4</v>
      </c>
      <c r="C177" s="29">
        <v>43</v>
      </c>
      <c r="D177" s="29">
        <v>4</v>
      </c>
      <c r="E177" s="57">
        <v>0</v>
      </c>
      <c r="F177" s="152" t="s">
        <v>1362</v>
      </c>
      <c r="G177" s="87">
        <v>72</v>
      </c>
      <c r="H177" s="29">
        <v>308</v>
      </c>
      <c r="I177" s="107">
        <v>46057</v>
      </c>
      <c r="J177" s="91">
        <v>0.15365740740740741</v>
      </c>
      <c r="K177" s="154" t="s">
        <v>1363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>
      <c r="A178" s="20" t="s">
        <v>27</v>
      </c>
      <c r="B178" s="29">
        <v>97</v>
      </c>
      <c r="C178" s="29">
        <v>44</v>
      </c>
      <c r="D178" s="190">
        <v>40</v>
      </c>
      <c r="E178" s="57">
        <v>0</v>
      </c>
      <c r="F178" s="152" t="s">
        <v>1364</v>
      </c>
      <c r="G178" s="21">
        <v>5</v>
      </c>
      <c r="H178" s="29">
        <v>324</v>
      </c>
      <c r="I178" s="29">
        <v>4</v>
      </c>
      <c r="J178" s="91">
        <v>4.0972222222222222E-2</v>
      </c>
      <c r="K178" s="154" t="s">
        <v>1365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>
      <c r="A179" s="20" t="s">
        <v>38</v>
      </c>
      <c r="B179" s="29">
        <v>168</v>
      </c>
      <c r="C179" s="29">
        <v>76</v>
      </c>
      <c r="D179" s="190">
        <v>41</v>
      </c>
      <c r="E179" s="57">
        <v>0</v>
      </c>
      <c r="F179" s="21">
        <v>150</v>
      </c>
      <c r="G179" s="154" t="s">
        <v>1366</v>
      </c>
      <c r="H179" s="152" t="s">
        <v>1367</v>
      </c>
      <c r="I179" s="112">
        <v>46268</v>
      </c>
      <c r="J179" s="9">
        <v>3.3969907407407407E-2</v>
      </c>
      <c r="K179" s="109">
        <v>1.7824074074074075E-3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>
      <c r="A180" s="20" t="s">
        <v>522</v>
      </c>
      <c r="B180" s="29">
        <v>116</v>
      </c>
      <c r="C180" s="29">
        <v>77</v>
      </c>
      <c r="D180" s="29">
        <v>27</v>
      </c>
      <c r="E180" s="57">
        <v>0</v>
      </c>
      <c r="F180" s="21">
        <v>35</v>
      </c>
      <c r="G180" s="21">
        <v>14</v>
      </c>
      <c r="H180" s="29">
        <v>237</v>
      </c>
      <c r="I180" s="107">
        <v>46177</v>
      </c>
      <c r="J180" s="60">
        <v>6.7812499999999998E-2</v>
      </c>
      <c r="K180" s="113">
        <v>4.5949074074074078E-3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>
      <c r="A181" s="20" t="s">
        <v>42</v>
      </c>
      <c r="B181" s="115" t="s">
        <v>1368</v>
      </c>
      <c r="C181" s="115" t="s">
        <v>1369</v>
      </c>
      <c r="D181" s="191" t="s">
        <v>1124</v>
      </c>
      <c r="E181" s="57">
        <v>1</v>
      </c>
      <c r="F181" s="21">
        <v>182</v>
      </c>
      <c r="G181" s="87">
        <v>106</v>
      </c>
      <c r="H181" s="115" t="s">
        <v>1317</v>
      </c>
      <c r="I181" s="107">
        <v>46085</v>
      </c>
      <c r="J181" s="60">
        <v>3.6979166666666667E-2</v>
      </c>
      <c r="K181" s="109">
        <v>1.8287037037037037E-3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">
      <c r="A182" s="156" t="s">
        <v>15</v>
      </c>
      <c r="B182" s="159" t="s">
        <v>1370</v>
      </c>
      <c r="C182" s="159" t="s">
        <v>1371</v>
      </c>
      <c r="D182" s="170">
        <v>730</v>
      </c>
      <c r="E182" s="185"/>
      <c r="F182" s="184">
        <v>2392</v>
      </c>
      <c r="G182" s="157">
        <v>1243</v>
      </c>
      <c r="H182" s="184">
        <v>6762</v>
      </c>
      <c r="I182" s="192" t="s">
        <v>1254</v>
      </c>
      <c r="J182" s="195">
        <v>4.3460648148148151E-2</v>
      </c>
      <c r="K182" s="180">
        <v>2.0601851851851853E-3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">
      <c r="A183" s="156" t="s">
        <v>1174</v>
      </c>
      <c r="B183" s="177" t="s">
        <v>1353</v>
      </c>
      <c r="C183" s="177" t="s">
        <v>1354</v>
      </c>
      <c r="D183" s="165" t="s">
        <v>1372</v>
      </c>
      <c r="F183" s="164">
        <v>2646</v>
      </c>
      <c r="G183" s="165" t="s">
        <v>1373</v>
      </c>
      <c r="H183" s="164" t="s">
        <v>1374</v>
      </c>
      <c r="I183" s="166">
        <v>45781</v>
      </c>
      <c r="J183" s="167">
        <v>4.1666666666666664E-2</v>
      </c>
      <c r="K183" s="167">
        <v>2.0717592592592593E-3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8.25" customHeight="1">
      <c r="A184" s="156" t="s">
        <v>1177</v>
      </c>
      <c r="B184" s="164">
        <v>83</v>
      </c>
      <c r="C184" s="165">
        <v>38</v>
      </c>
      <c r="D184" s="165">
        <v>33</v>
      </c>
      <c r="F184" s="164">
        <v>110</v>
      </c>
      <c r="G184" s="165">
        <v>37</v>
      </c>
      <c r="H184" s="164">
        <v>246</v>
      </c>
      <c r="I184" s="165" t="s">
        <v>1203</v>
      </c>
      <c r="J184" s="167">
        <v>3.471064814814815E-2</v>
      </c>
      <c r="K184" s="167">
        <v>1.6203703703703703E-3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</sheetData>
  <mergeCells count="4">
    <mergeCell ref="F29:G29"/>
    <mergeCell ref="F71:G71"/>
    <mergeCell ref="F113:G113"/>
    <mergeCell ref="F157:G157"/>
  </mergeCells>
  <conditionalFormatting sqref="H2:H8 J2:K8">
    <cfRule type="notContainsBlanks" dxfId="3" priority="1">
      <formula>LEN(TRIM(H2))&gt;0</formula>
    </cfRule>
  </conditionalFormatting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E167"/>
  <sheetViews>
    <sheetView topLeftCell="A350" workbookViewId="0">
      <selection activeCell="A370" sqref="A370"/>
    </sheetView>
  </sheetViews>
  <sheetFormatPr defaultColWidth="12.5703125" defaultRowHeight="15.75" customHeight="1"/>
  <cols>
    <col min="1" max="1" width="72.7109375" customWidth="1"/>
    <col min="2" max="2" width="15.28515625" customWidth="1"/>
    <col min="3" max="3" width="16.42578125" customWidth="1"/>
    <col min="4" max="4" width="15.28515625" customWidth="1"/>
    <col min="5" max="5" width="14.7109375" customWidth="1"/>
    <col min="6" max="6" width="15" customWidth="1"/>
    <col min="7" max="7" width="16" customWidth="1"/>
    <col min="8" max="8" width="15.42578125" customWidth="1"/>
    <col min="9" max="9" width="15.7109375" customWidth="1"/>
    <col min="10" max="10" width="14.7109375" customWidth="1"/>
    <col min="11" max="11" width="16" customWidth="1"/>
    <col min="12" max="12" width="13.28515625" customWidth="1"/>
    <col min="13" max="13" width="28" customWidth="1"/>
    <col min="14" max="14" width="15" customWidth="1"/>
    <col min="15" max="15" width="14" customWidth="1"/>
    <col min="16" max="16" width="14.85546875" customWidth="1"/>
  </cols>
  <sheetData>
    <row r="1" spans="1:25" ht="26.25">
      <c r="A1" s="4" t="s">
        <v>1375</v>
      </c>
      <c r="B1" s="5" t="s">
        <v>1086</v>
      </c>
      <c r="C1" s="5" t="s">
        <v>1087</v>
      </c>
      <c r="D1" s="5" t="s">
        <v>1088</v>
      </c>
      <c r="E1" s="5" t="s">
        <v>1089</v>
      </c>
      <c r="F1" s="5" t="s">
        <v>1091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7.25" customHeight="1">
      <c r="A2" s="8" t="s">
        <v>1376</v>
      </c>
      <c r="B2" s="46">
        <v>4.6493055555555558E-2</v>
      </c>
      <c r="C2" s="46">
        <v>3.7303240740740741E-2</v>
      </c>
      <c r="D2" s="46">
        <v>5.6238425925925928E-2</v>
      </c>
      <c r="E2" s="46">
        <v>3.7060185185185182E-2</v>
      </c>
      <c r="F2" s="46">
        <v>4.4270833333333336E-2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1377</v>
      </c>
      <c r="B3" s="46">
        <v>6.322916666666667E-2</v>
      </c>
      <c r="C3" s="46">
        <v>4.6504629629629632E-2</v>
      </c>
      <c r="D3" s="46">
        <v>1.9664351851851853E-2</v>
      </c>
      <c r="E3" s="46">
        <v>2.8935185185185184E-4</v>
      </c>
      <c r="F3" s="46">
        <v>3.2418981481481479E-2</v>
      </c>
      <c r="G3" s="7"/>
      <c r="H3" s="7"/>
      <c r="I3" s="7"/>
      <c r="J3" s="7"/>
      <c r="K3" s="7"/>
      <c r="L3" s="7"/>
      <c r="M3" s="7"/>
      <c r="N3" s="7"/>
      <c r="O3" s="7"/>
      <c r="P3" s="7"/>
      <c r="Q3" s="47" t="s">
        <v>47</v>
      </c>
      <c r="R3" s="7" t="s">
        <v>48</v>
      </c>
      <c r="S3" s="7"/>
      <c r="T3" s="7"/>
      <c r="U3" s="7"/>
      <c r="V3" s="7"/>
      <c r="W3" s="7"/>
      <c r="X3" s="7"/>
      <c r="Y3" s="7"/>
    </row>
    <row r="4" spans="1:25">
      <c r="A4" s="8" t="s">
        <v>1378</v>
      </c>
      <c r="B4" s="46">
        <v>1.6550925925925926E-3</v>
      </c>
      <c r="C4" s="46">
        <v>1.5972222222222223E-3</v>
      </c>
      <c r="D4" s="46">
        <v>4.6180555555555558E-3</v>
      </c>
      <c r="E4" s="46">
        <v>3.6111111111111109E-3</v>
      </c>
      <c r="F4" s="46">
        <v>2.8703703703703703E-3</v>
      </c>
      <c r="G4" s="7"/>
      <c r="H4" s="7"/>
      <c r="I4" s="7"/>
      <c r="J4" s="7"/>
      <c r="K4" s="7"/>
      <c r="L4" s="7"/>
      <c r="M4" s="7"/>
      <c r="N4" s="7"/>
      <c r="O4" s="7"/>
      <c r="P4" s="7"/>
      <c r="Q4" s="48" t="s">
        <v>50</v>
      </c>
      <c r="R4" s="7" t="s">
        <v>51</v>
      </c>
      <c r="S4" s="7"/>
      <c r="T4" s="7"/>
      <c r="U4" s="7"/>
      <c r="V4" s="7"/>
      <c r="W4" s="7"/>
      <c r="X4" s="7"/>
      <c r="Y4" s="7"/>
    </row>
    <row r="5" spans="1:25">
      <c r="A5" s="8" t="s">
        <v>1379</v>
      </c>
      <c r="B5" s="46">
        <v>3.3333333333333335E-3</v>
      </c>
      <c r="C5" s="46">
        <v>2.8356481481481483E-3</v>
      </c>
      <c r="D5" s="46">
        <v>3.3449074074074076E-3</v>
      </c>
      <c r="E5" s="46">
        <v>3.0208333333333333E-3</v>
      </c>
      <c r="F5" s="46">
        <v>3.1365740740740742E-3</v>
      </c>
      <c r="G5" s="7"/>
      <c r="H5" s="7"/>
      <c r="I5" s="7"/>
      <c r="J5" s="7"/>
      <c r="K5" s="7"/>
      <c r="L5" s="7"/>
      <c r="M5" s="7"/>
      <c r="N5" s="7"/>
      <c r="O5" s="7"/>
      <c r="P5" s="7"/>
      <c r="Q5" s="49" t="s">
        <v>53</v>
      </c>
      <c r="R5" s="7" t="s">
        <v>54</v>
      </c>
      <c r="S5" s="7"/>
      <c r="T5" s="7"/>
      <c r="U5" s="7"/>
      <c r="V5" s="7"/>
      <c r="W5" s="7"/>
      <c r="X5" s="7"/>
      <c r="Y5" s="7"/>
    </row>
    <row r="6" spans="1:25">
      <c r="A6" s="8" t="s">
        <v>1380</v>
      </c>
      <c r="B6" s="51">
        <v>4.3099999999999996</v>
      </c>
      <c r="C6" s="51">
        <v>4.16</v>
      </c>
      <c r="D6" s="51">
        <v>4.28</v>
      </c>
      <c r="E6" s="51" t="s">
        <v>1381</v>
      </c>
      <c r="F6" s="51" t="s">
        <v>1382</v>
      </c>
      <c r="G6" s="7"/>
      <c r="H6" s="7"/>
      <c r="I6" s="7"/>
      <c r="J6" s="7"/>
      <c r="K6" s="7"/>
      <c r="L6" s="7"/>
      <c r="M6" s="7"/>
      <c r="N6" s="7"/>
      <c r="O6" s="7"/>
      <c r="P6" s="7"/>
      <c r="Q6" s="52" t="s">
        <v>56</v>
      </c>
      <c r="R6" s="7" t="s">
        <v>57</v>
      </c>
      <c r="S6" s="7"/>
      <c r="T6" s="7"/>
      <c r="U6" s="7"/>
      <c r="V6" s="7"/>
      <c r="W6" s="7"/>
      <c r="X6" s="7"/>
      <c r="Y6" s="7"/>
    </row>
    <row r="7" spans="1:25">
      <c r="A7" s="8" t="s">
        <v>1383</v>
      </c>
      <c r="B7" s="53">
        <v>0.94</v>
      </c>
      <c r="C7" s="53">
        <v>0.96</v>
      </c>
      <c r="D7" s="53">
        <v>0.98</v>
      </c>
      <c r="E7" s="53">
        <v>0.99</v>
      </c>
      <c r="F7" s="53">
        <v>0.97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8" t="s">
        <v>1384</v>
      </c>
      <c r="B8" s="54">
        <v>894</v>
      </c>
      <c r="C8" s="54">
        <v>1067</v>
      </c>
      <c r="D8" s="54">
        <v>611</v>
      </c>
      <c r="E8" s="54">
        <v>512</v>
      </c>
      <c r="F8" s="55" t="s">
        <v>1385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8" t="s">
        <v>1386</v>
      </c>
      <c r="B9" s="53">
        <v>0.93</v>
      </c>
      <c r="C9" s="53">
        <v>0.97</v>
      </c>
      <c r="D9" s="53">
        <v>0.99</v>
      </c>
      <c r="E9" s="53">
        <v>1</v>
      </c>
      <c r="F9" s="53">
        <v>0.97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8" t="s">
        <v>1387</v>
      </c>
      <c r="B10" s="54">
        <v>475</v>
      </c>
      <c r="C10" s="54">
        <v>670</v>
      </c>
      <c r="D10" s="54">
        <v>515</v>
      </c>
      <c r="E10" s="54">
        <v>477</v>
      </c>
      <c r="F10" s="55" t="s">
        <v>1388</v>
      </c>
      <c r="G10" s="7"/>
      <c r="H10" s="7"/>
      <c r="I10" s="7"/>
      <c r="J10" s="7"/>
      <c r="K10" s="7"/>
      <c r="L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1389</v>
      </c>
      <c r="B11" s="55" t="s">
        <v>1390</v>
      </c>
      <c r="C11" s="55" t="s">
        <v>1391</v>
      </c>
      <c r="D11" s="55" t="s">
        <v>1392</v>
      </c>
      <c r="E11" s="55" t="s">
        <v>1393</v>
      </c>
      <c r="F11" s="55" t="s">
        <v>1394</v>
      </c>
      <c r="G11" s="7"/>
      <c r="H11" s="7"/>
      <c r="I11" s="7"/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5">
      <c r="A12" s="8" t="s">
        <v>1395</v>
      </c>
      <c r="B12" s="55" t="s">
        <v>1396</v>
      </c>
      <c r="C12" s="55" t="s">
        <v>1397</v>
      </c>
      <c r="D12" s="55" t="s">
        <v>1398</v>
      </c>
      <c r="E12" s="55" t="s">
        <v>1399</v>
      </c>
      <c r="F12" s="55" t="s">
        <v>1400</v>
      </c>
      <c r="G12" s="7"/>
      <c r="H12" s="7"/>
      <c r="I12" s="7"/>
      <c r="J12" s="7"/>
      <c r="K12" s="7"/>
      <c r="L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5">
      <c r="A13" s="8" t="s">
        <v>1401</v>
      </c>
      <c r="B13" s="51">
        <v>78</v>
      </c>
      <c r="C13" s="51">
        <v>82</v>
      </c>
      <c r="D13" s="51">
        <v>156</v>
      </c>
      <c r="E13" s="51">
        <v>208</v>
      </c>
      <c r="F13" s="51">
        <v>524</v>
      </c>
      <c r="G13" s="7"/>
      <c r="H13" s="7"/>
      <c r="I13" s="7"/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5">
      <c r="A14" s="8" t="s">
        <v>1402</v>
      </c>
      <c r="B14" s="55" t="s">
        <v>1403</v>
      </c>
      <c r="C14" s="55" t="s">
        <v>1404</v>
      </c>
      <c r="D14" s="55" t="s">
        <v>1405</v>
      </c>
      <c r="E14" s="53">
        <v>0.96379999999999999</v>
      </c>
      <c r="F14" s="53">
        <v>0.96</v>
      </c>
      <c r="G14" s="7"/>
      <c r="H14" s="7"/>
      <c r="I14" s="7"/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>
      <c r="A15" s="8" t="s">
        <v>74</v>
      </c>
      <c r="B15" s="56">
        <v>6.4500000000000002E-2</v>
      </c>
      <c r="C15" s="56">
        <v>5.8900000000000001E-2</v>
      </c>
      <c r="D15" s="56">
        <v>3.6200000000000003E-2</v>
      </c>
      <c r="E15" s="181">
        <v>2.93E-2</v>
      </c>
      <c r="F15" s="56">
        <v>4.7199999999999999E-2</v>
      </c>
      <c r="G15" s="7"/>
      <c r="H15" s="7"/>
      <c r="I15" s="7"/>
      <c r="J15" s="7"/>
      <c r="K15" s="7"/>
      <c r="L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8" t="s">
        <v>1406</v>
      </c>
      <c r="B16" s="55" t="s">
        <v>1407</v>
      </c>
      <c r="C16" s="55" t="s">
        <v>1408</v>
      </c>
      <c r="D16" s="55" t="s">
        <v>1409</v>
      </c>
      <c r="E16" s="55" t="s">
        <v>1410</v>
      </c>
      <c r="F16" s="55" t="s">
        <v>1410</v>
      </c>
      <c r="G16" s="7"/>
      <c r="H16" s="7"/>
      <c r="I16" s="7"/>
      <c r="J16" s="7"/>
      <c r="K16" s="7"/>
      <c r="L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31" ht="12.75"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31" ht="12.75"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31" ht="12.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26.25">
      <c r="A20" s="4" t="s">
        <v>1656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>
      <c r="A21" s="16" t="s">
        <v>77</v>
      </c>
      <c r="B21" s="101" t="s">
        <v>1138</v>
      </c>
      <c r="C21" s="101" t="s">
        <v>1139</v>
      </c>
      <c r="D21" s="81" t="s">
        <v>32</v>
      </c>
      <c r="E21" s="81" t="s">
        <v>33</v>
      </c>
      <c r="F21" s="81" t="s">
        <v>34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2.75">
      <c r="A22" s="31" t="s">
        <v>28</v>
      </c>
      <c r="B22" s="80">
        <v>0</v>
      </c>
      <c r="C22" s="80">
        <v>0</v>
      </c>
      <c r="D22" s="81">
        <v>2</v>
      </c>
      <c r="E22" s="80">
        <v>108</v>
      </c>
      <c r="F22" s="81">
        <v>5</v>
      </c>
      <c r="G22" s="1"/>
      <c r="H22" s="1"/>
      <c r="I22" s="1"/>
      <c r="J22" s="1"/>
      <c r="K22" s="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2.75">
      <c r="A23" s="20" t="s">
        <v>22</v>
      </c>
      <c r="B23" s="80">
        <v>2</v>
      </c>
      <c r="C23" s="104">
        <v>99</v>
      </c>
      <c r="D23" s="12">
        <v>18</v>
      </c>
      <c r="E23" s="12">
        <v>102</v>
      </c>
      <c r="F23" s="12">
        <v>11</v>
      </c>
      <c r="G23" s="1"/>
      <c r="H23" s="1"/>
      <c r="I23" s="1"/>
      <c r="J23" s="1"/>
      <c r="K23" s="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2.75">
      <c r="A24" s="20" t="s">
        <v>25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2.75">
      <c r="A25" s="20" t="s">
        <v>18</v>
      </c>
      <c r="B25" s="25">
        <v>1</v>
      </c>
      <c r="C25" s="25">
        <v>53</v>
      </c>
      <c r="D25" s="26">
        <v>2</v>
      </c>
      <c r="E25" s="25">
        <v>0</v>
      </c>
      <c r="F25" s="26"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2.75">
      <c r="A26" s="20" t="s">
        <v>12</v>
      </c>
      <c r="B26" s="12">
        <v>0</v>
      </c>
      <c r="C26" s="12">
        <v>0</v>
      </c>
      <c r="D26" s="21">
        <v>6</v>
      </c>
      <c r="E26" s="12">
        <v>118</v>
      </c>
      <c r="F26" s="21">
        <v>55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2.75">
      <c r="A27" s="20" t="s">
        <v>1235</v>
      </c>
      <c r="B27" s="29">
        <v>67</v>
      </c>
      <c r="C27" s="25">
        <v>48</v>
      </c>
      <c r="D27" s="29">
        <v>42</v>
      </c>
      <c r="E27" s="57">
        <v>21</v>
      </c>
      <c r="F27" s="21">
        <v>39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2.75">
      <c r="A28" s="20" t="s">
        <v>519</v>
      </c>
      <c r="B28" s="29">
        <v>3</v>
      </c>
      <c r="C28" s="12">
        <v>66</v>
      </c>
      <c r="D28" s="29">
        <v>20</v>
      </c>
      <c r="E28" s="57">
        <v>6</v>
      </c>
      <c r="F28" s="21"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16" t="s">
        <v>80</v>
      </c>
      <c r="B29" s="17" t="s">
        <v>1140</v>
      </c>
      <c r="C29" s="17" t="s">
        <v>1141</v>
      </c>
      <c r="D29" s="101" t="s">
        <v>32</v>
      </c>
      <c r="E29" s="18" t="s">
        <v>1325</v>
      </c>
      <c r="F29" s="240" t="s">
        <v>1143</v>
      </c>
      <c r="G29" s="241"/>
      <c r="H29" s="17" t="s">
        <v>505</v>
      </c>
      <c r="I29" s="17" t="s">
        <v>31</v>
      </c>
      <c r="J29" s="18" t="s">
        <v>1144</v>
      </c>
      <c r="K29" s="81" t="s">
        <v>35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2.75">
      <c r="A30" s="20" t="s">
        <v>21</v>
      </c>
      <c r="B30" s="21">
        <v>110</v>
      </c>
      <c r="C30" s="21">
        <v>115</v>
      </c>
      <c r="D30" s="21">
        <v>28</v>
      </c>
      <c r="E30" s="57">
        <v>2</v>
      </c>
      <c r="F30" s="21">
        <v>246</v>
      </c>
      <c r="G30" s="88">
        <v>121</v>
      </c>
      <c r="H30" s="12">
        <v>230</v>
      </c>
      <c r="I30" s="107">
        <v>46207</v>
      </c>
      <c r="J30" s="9">
        <v>4.2037037037037039E-2</v>
      </c>
      <c r="K30" s="113">
        <v>3.9004629629629628E-3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2.75">
      <c r="A31" s="20" t="s">
        <v>1287</v>
      </c>
      <c r="B31" s="29">
        <v>142</v>
      </c>
      <c r="C31" s="29">
        <v>24</v>
      </c>
      <c r="D31" s="29">
        <v>6</v>
      </c>
      <c r="E31" s="57">
        <v>0</v>
      </c>
      <c r="F31" s="29">
        <v>0</v>
      </c>
      <c r="G31" s="29">
        <v>0</v>
      </c>
      <c r="H31" s="29">
        <v>298</v>
      </c>
      <c r="I31" s="107">
        <v>46026</v>
      </c>
      <c r="J31" s="114">
        <v>3.6689814814814814E-2</v>
      </c>
      <c r="K31" s="114">
        <v>6.5972222222222224E-4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2.75">
      <c r="A32" s="20" t="s">
        <v>41</v>
      </c>
      <c r="B32" s="29">
        <v>159</v>
      </c>
      <c r="C32" s="29">
        <v>129</v>
      </c>
      <c r="D32" s="12">
        <v>19</v>
      </c>
      <c r="E32" s="57">
        <v>0</v>
      </c>
      <c r="F32" s="21">
        <v>380</v>
      </c>
      <c r="G32" s="88">
        <v>156</v>
      </c>
      <c r="H32" s="104">
        <v>332</v>
      </c>
      <c r="I32" s="149">
        <v>46206</v>
      </c>
      <c r="J32" s="60">
        <v>6.446759259259259E-2</v>
      </c>
      <c r="K32" s="109">
        <v>1.724537037037037E-3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2.75">
      <c r="A33" s="20" t="s">
        <v>135</v>
      </c>
      <c r="B33" s="29">
        <v>121</v>
      </c>
      <c r="C33" s="29">
        <v>130</v>
      </c>
      <c r="D33" s="21">
        <v>16</v>
      </c>
      <c r="E33" s="57">
        <v>2</v>
      </c>
      <c r="F33" s="21">
        <v>197</v>
      </c>
      <c r="G33" s="88">
        <v>86</v>
      </c>
      <c r="H33" s="104">
        <v>303</v>
      </c>
      <c r="I33" s="107">
        <v>46116</v>
      </c>
      <c r="J33" s="182">
        <v>5.1493055555555556E-2</v>
      </c>
      <c r="K33" s="113">
        <v>3.425925925925926E-3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2.75">
      <c r="A34" s="20" t="s">
        <v>796</v>
      </c>
      <c r="B34" s="29">
        <v>176</v>
      </c>
      <c r="C34" s="90">
        <v>39</v>
      </c>
      <c r="D34" s="12">
        <v>28</v>
      </c>
      <c r="E34" s="57">
        <v>0</v>
      </c>
      <c r="F34" s="127" t="s">
        <v>1411</v>
      </c>
      <c r="G34" s="127" t="s">
        <v>1291</v>
      </c>
      <c r="H34" s="115" t="s">
        <v>1412</v>
      </c>
      <c r="I34" s="107">
        <v>46146</v>
      </c>
      <c r="J34" s="60">
        <v>7.1354166666666663E-2</v>
      </c>
      <c r="K34" s="154" t="s">
        <v>528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2.75">
      <c r="A35" s="20" t="s">
        <v>209</v>
      </c>
      <c r="B35" s="103">
        <v>148</v>
      </c>
      <c r="C35" s="103">
        <v>94</v>
      </c>
      <c r="D35" s="21">
        <v>28</v>
      </c>
      <c r="E35" s="57">
        <v>7</v>
      </c>
      <c r="F35" s="21">
        <v>170</v>
      </c>
      <c r="G35" s="87">
        <v>103</v>
      </c>
      <c r="H35" s="103">
        <v>311</v>
      </c>
      <c r="I35" s="107">
        <v>46116</v>
      </c>
      <c r="J35" s="9">
        <v>2.7685185185185184E-2</v>
      </c>
      <c r="K35" s="109">
        <v>9.4907407407407408E-4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2.75">
      <c r="A36" s="20" t="s">
        <v>86</v>
      </c>
      <c r="B36" s="90">
        <v>50</v>
      </c>
      <c r="C36" s="90">
        <v>28</v>
      </c>
      <c r="D36" s="21">
        <v>3</v>
      </c>
      <c r="E36" s="57">
        <v>0</v>
      </c>
      <c r="F36" s="127" t="s">
        <v>1413</v>
      </c>
      <c r="G36" s="150" t="s">
        <v>1414</v>
      </c>
      <c r="H36" s="29">
        <v>626</v>
      </c>
      <c r="I36" s="107">
        <v>46116</v>
      </c>
      <c r="J36" s="9">
        <v>3.0034722222222223E-2</v>
      </c>
      <c r="K36" s="109">
        <v>5.6712962962962967E-4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2.75">
      <c r="A37" s="20" t="s">
        <v>87</v>
      </c>
      <c r="B37" s="151">
        <v>27</v>
      </c>
      <c r="C37" s="151">
        <v>33</v>
      </c>
      <c r="D37" s="21">
        <v>11</v>
      </c>
      <c r="E37" s="57">
        <v>1</v>
      </c>
      <c r="F37" s="21">
        <v>342</v>
      </c>
      <c r="G37" s="87">
        <v>117</v>
      </c>
      <c r="H37" s="103">
        <v>668</v>
      </c>
      <c r="I37" s="107">
        <v>46207</v>
      </c>
      <c r="J37" s="9">
        <v>2.3449074074074074E-2</v>
      </c>
      <c r="K37" s="109">
        <v>3.2407407407407406E-4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2.75">
      <c r="A38" s="20" t="s">
        <v>39</v>
      </c>
      <c r="B38" s="90">
        <v>85</v>
      </c>
      <c r="C38" s="90">
        <v>50</v>
      </c>
      <c r="D38" s="190">
        <v>39</v>
      </c>
      <c r="E38" s="57">
        <v>0</v>
      </c>
      <c r="F38" s="21">
        <v>214</v>
      </c>
      <c r="G38" s="87">
        <v>92</v>
      </c>
      <c r="H38" s="29">
        <v>597</v>
      </c>
      <c r="I38" s="107">
        <v>46146</v>
      </c>
      <c r="J38" s="60">
        <v>8.2314814814814813E-2</v>
      </c>
      <c r="K38" s="109">
        <v>1.1111111111111111E-3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2.75">
      <c r="A39" s="20" t="s">
        <v>1300</v>
      </c>
      <c r="B39" s="29">
        <v>140</v>
      </c>
      <c r="C39" s="29">
        <v>115</v>
      </c>
      <c r="D39" s="29">
        <v>15</v>
      </c>
      <c r="E39" s="57">
        <v>0</v>
      </c>
      <c r="F39" s="21" t="s">
        <v>1145</v>
      </c>
      <c r="G39" s="21" t="s">
        <v>1145</v>
      </c>
      <c r="H39" s="29">
        <v>327</v>
      </c>
      <c r="I39" s="107">
        <v>46057</v>
      </c>
      <c r="J39" s="60">
        <v>5.0937499999999997E-2</v>
      </c>
      <c r="K39" s="109">
        <v>1.6550925925925926E-3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2.75">
      <c r="A40" s="20" t="s">
        <v>512</v>
      </c>
      <c r="B40" s="90">
        <v>89</v>
      </c>
      <c r="C40" s="90">
        <v>31</v>
      </c>
      <c r="D40" s="29">
        <v>32</v>
      </c>
      <c r="E40" s="57">
        <v>0</v>
      </c>
      <c r="F40" s="187">
        <v>3</v>
      </c>
      <c r="G40" s="21">
        <v>0</v>
      </c>
      <c r="H40" s="103">
        <v>1183</v>
      </c>
      <c r="I40" s="107">
        <v>46085</v>
      </c>
      <c r="J40" s="9">
        <v>3.7337962962962962E-2</v>
      </c>
      <c r="K40" s="109">
        <v>1.712962962962963E-3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.75">
      <c r="A41" s="20" t="s">
        <v>1207</v>
      </c>
      <c r="B41" s="29">
        <v>298</v>
      </c>
      <c r="C41" s="90">
        <v>48</v>
      </c>
      <c r="D41" s="29">
        <v>33</v>
      </c>
      <c r="E41" s="57">
        <v>0</v>
      </c>
      <c r="F41" s="21">
        <v>196</v>
      </c>
      <c r="G41" s="88">
        <v>74</v>
      </c>
      <c r="H41" s="104">
        <v>420</v>
      </c>
      <c r="I41" s="107">
        <v>46116</v>
      </c>
      <c r="J41" s="60">
        <v>5.7708333333333334E-2</v>
      </c>
      <c r="K41" s="113">
        <v>3.3680555555555556E-3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2.75">
      <c r="A42" s="20" t="s">
        <v>515</v>
      </c>
      <c r="B42" s="29">
        <v>3</v>
      </c>
      <c r="C42" s="29">
        <v>1</v>
      </c>
      <c r="D42" s="29">
        <v>0</v>
      </c>
      <c r="E42" s="57">
        <v>0</v>
      </c>
      <c r="F42" s="21">
        <v>10</v>
      </c>
      <c r="G42" s="21">
        <v>1</v>
      </c>
      <c r="H42" s="29">
        <v>80</v>
      </c>
      <c r="I42" s="107">
        <v>46238</v>
      </c>
      <c r="J42" s="9">
        <v>3.4178240740740738E-2</v>
      </c>
      <c r="K42" s="109">
        <v>3.5879629629629629E-4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2.75">
      <c r="A43" s="20" t="s">
        <v>1303</v>
      </c>
      <c r="B43" s="29">
        <v>364</v>
      </c>
      <c r="C43" s="29">
        <v>132</v>
      </c>
      <c r="D43" s="29">
        <v>25</v>
      </c>
      <c r="E43" s="57">
        <v>4</v>
      </c>
      <c r="F43" s="21" t="s">
        <v>1145</v>
      </c>
      <c r="G43" s="21" t="s">
        <v>1145</v>
      </c>
      <c r="H43" s="104">
        <v>474</v>
      </c>
      <c r="I43" s="29">
        <v>4</v>
      </c>
      <c r="J43" s="193">
        <v>3.0752314814814816E-2</v>
      </c>
      <c r="K43" s="113">
        <v>2.1412037037037038E-3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2.75">
      <c r="A44" s="20" t="s">
        <v>814</v>
      </c>
      <c r="B44" s="90">
        <v>98</v>
      </c>
      <c r="C44" s="29">
        <v>102</v>
      </c>
      <c r="D44" s="29">
        <v>17</v>
      </c>
      <c r="E44" s="57">
        <v>0</v>
      </c>
      <c r="F44" s="21">
        <v>186</v>
      </c>
      <c r="G44" s="87">
        <v>132</v>
      </c>
      <c r="H44" s="12">
        <v>304</v>
      </c>
      <c r="I44" s="112">
        <v>46237</v>
      </c>
      <c r="J44" s="193">
        <v>2.568287037037037E-2</v>
      </c>
      <c r="K44" s="113">
        <v>2.5000000000000001E-3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2.75">
      <c r="A45" s="20" t="s">
        <v>1415</v>
      </c>
      <c r="B45" s="29">
        <v>17</v>
      </c>
      <c r="C45" s="29">
        <v>74</v>
      </c>
      <c r="D45" s="29">
        <v>4</v>
      </c>
      <c r="E45" s="57">
        <v>1</v>
      </c>
      <c r="F45" s="21">
        <v>224</v>
      </c>
      <c r="G45" s="87">
        <v>139</v>
      </c>
      <c r="H45" s="29">
        <v>130</v>
      </c>
      <c r="I45" s="107">
        <v>46146</v>
      </c>
      <c r="J45" s="153">
        <v>2.8298611111111111E-2</v>
      </c>
      <c r="K45" s="109">
        <v>8.7962962962962962E-4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>
      <c r="A46" s="20" t="s">
        <v>1216</v>
      </c>
      <c r="B46" s="29">
        <v>165</v>
      </c>
      <c r="C46" s="29">
        <v>271</v>
      </c>
      <c r="D46" s="29">
        <v>3</v>
      </c>
      <c r="E46" s="57">
        <v>1</v>
      </c>
      <c r="F46" s="21">
        <v>133</v>
      </c>
      <c r="G46" s="87">
        <v>77</v>
      </c>
      <c r="H46" s="29">
        <v>557</v>
      </c>
      <c r="I46" s="107">
        <v>46116</v>
      </c>
      <c r="J46" s="153">
        <v>3.2245370370370369E-2</v>
      </c>
      <c r="K46" s="109">
        <v>1.4351851851851852E-3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>
      <c r="A47" s="20" t="s">
        <v>1416</v>
      </c>
      <c r="B47" s="29">
        <v>28</v>
      </c>
      <c r="C47" s="29">
        <v>168</v>
      </c>
      <c r="D47" s="29">
        <v>14</v>
      </c>
      <c r="E47" s="57">
        <v>0</v>
      </c>
      <c r="F47" s="152" t="s">
        <v>1417</v>
      </c>
      <c r="G47" s="87">
        <v>100</v>
      </c>
      <c r="H47" s="29">
        <v>421</v>
      </c>
      <c r="I47" s="107">
        <v>46085</v>
      </c>
      <c r="J47" s="91">
        <v>0.12371527777777777</v>
      </c>
      <c r="K47" s="154" t="s">
        <v>1418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>
      <c r="A48" s="20" t="s">
        <v>27</v>
      </c>
      <c r="B48" s="90">
        <v>62</v>
      </c>
      <c r="C48" s="29">
        <v>59</v>
      </c>
      <c r="D48" s="29">
        <v>31</v>
      </c>
      <c r="E48" s="57">
        <v>0</v>
      </c>
      <c r="F48" s="196" t="s">
        <v>1236</v>
      </c>
      <c r="G48" s="21">
        <v>3</v>
      </c>
      <c r="H48" s="29">
        <v>403</v>
      </c>
      <c r="I48" s="107">
        <v>46177</v>
      </c>
      <c r="J48" s="153">
        <v>4.4409722222222225E-2</v>
      </c>
      <c r="K48" s="154" t="s">
        <v>1419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75">
      <c r="A49" s="20" t="s">
        <v>38</v>
      </c>
      <c r="B49" s="29">
        <v>251</v>
      </c>
      <c r="C49" s="29">
        <v>53</v>
      </c>
      <c r="D49" s="29">
        <v>22</v>
      </c>
      <c r="E49" s="57">
        <v>0</v>
      </c>
      <c r="F49" s="21">
        <v>213</v>
      </c>
      <c r="G49" s="154" t="s">
        <v>1420</v>
      </c>
      <c r="H49" s="152" t="s">
        <v>1421</v>
      </c>
      <c r="I49" s="112">
        <v>46268</v>
      </c>
      <c r="J49" s="9">
        <v>2.8854166666666667E-2</v>
      </c>
      <c r="K49" s="109">
        <v>1.6319444444444445E-3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75">
      <c r="A50" s="20" t="s">
        <v>522</v>
      </c>
      <c r="B50" s="29">
        <v>258</v>
      </c>
      <c r="C50" s="29">
        <v>104</v>
      </c>
      <c r="D50" s="29">
        <v>11</v>
      </c>
      <c r="E50" s="57">
        <v>1</v>
      </c>
      <c r="F50" s="187">
        <v>71</v>
      </c>
      <c r="G50" s="21">
        <v>11</v>
      </c>
      <c r="H50" s="29">
        <v>374</v>
      </c>
      <c r="I50" s="107">
        <v>46057</v>
      </c>
      <c r="J50" s="60">
        <v>5.5254629629629633E-2</v>
      </c>
      <c r="K50" s="109">
        <v>1.7824074074074075E-3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2.75">
      <c r="A51" s="20" t="s">
        <v>42</v>
      </c>
      <c r="B51" s="115" t="s">
        <v>1422</v>
      </c>
      <c r="C51" s="115" t="s">
        <v>1205</v>
      </c>
      <c r="D51" s="191" t="s">
        <v>1423</v>
      </c>
      <c r="E51" s="57">
        <v>2</v>
      </c>
      <c r="F51" s="21">
        <v>214</v>
      </c>
      <c r="G51" s="87">
        <v>83</v>
      </c>
      <c r="H51" s="115" t="s">
        <v>1424</v>
      </c>
      <c r="I51" s="107">
        <v>46057</v>
      </c>
      <c r="J51" s="9">
        <v>4.3958333333333335E-2</v>
      </c>
      <c r="K51" s="109">
        <v>1.4004629629629629E-3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">
      <c r="A52" s="156" t="s">
        <v>15</v>
      </c>
      <c r="B52" s="159" t="s">
        <v>1425</v>
      </c>
      <c r="C52" s="159" t="s">
        <v>1426</v>
      </c>
      <c r="D52" s="170">
        <v>475</v>
      </c>
      <c r="E52" s="185"/>
      <c r="F52" s="170">
        <v>2799</v>
      </c>
      <c r="G52" s="157">
        <v>1295</v>
      </c>
      <c r="H52" s="184">
        <v>8038</v>
      </c>
      <c r="I52" s="192">
        <v>4.3099999999999996</v>
      </c>
      <c r="J52" s="195">
        <v>4.6493055555555558E-2</v>
      </c>
      <c r="K52" s="180">
        <v>1.6550925925925926E-3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">
      <c r="A53" s="156" t="s">
        <v>1174</v>
      </c>
      <c r="B53" s="177" t="s">
        <v>1427</v>
      </c>
      <c r="C53" s="177" t="s">
        <v>1428</v>
      </c>
      <c r="D53" s="165" t="s">
        <v>1202</v>
      </c>
      <c r="F53" s="164">
        <v>2646</v>
      </c>
      <c r="G53" s="165" t="s">
        <v>1373</v>
      </c>
      <c r="H53" s="164" t="s">
        <v>1429</v>
      </c>
      <c r="I53" s="166">
        <v>45781</v>
      </c>
      <c r="J53" s="167">
        <v>4.1666666666666664E-2</v>
      </c>
      <c r="K53" s="167">
        <v>2.0717592592592593E-3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">
      <c r="A54" s="156" t="s">
        <v>1177</v>
      </c>
      <c r="B54" s="164">
        <v>100</v>
      </c>
      <c r="C54" s="165">
        <v>59</v>
      </c>
      <c r="D54" s="165">
        <v>34</v>
      </c>
      <c r="F54" s="164">
        <v>120</v>
      </c>
      <c r="G54" s="165">
        <v>40</v>
      </c>
      <c r="H54" s="164">
        <v>308</v>
      </c>
      <c r="I54" s="165" t="s">
        <v>1203</v>
      </c>
      <c r="J54" s="167">
        <v>4.1655092592592591E-2</v>
      </c>
      <c r="K54" s="167">
        <v>1.6203703703703703E-3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2.7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26.25">
      <c r="A57" s="4" t="s">
        <v>1657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>
      <c r="A58" s="16" t="s">
        <v>77</v>
      </c>
      <c r="B58" s="101" t="s">
        <v>1138</v>
      </c>
      <c r="C58" s="101" t="s">
        <v>1139</v>
      </c>
      <c r="D58" s="81" t="s">
        <v>32</v>
      </c>
      <c r="E58" s="81" t="s">
        <v>33</v>
      </c>
      <c r="F58" s="81" t="s">
        <v>34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75">
      <c r="A59" s="31" t="s">
        <v>28</v>
      </c>
      <c r="B59" s="21">
        <v>0</v>
      </c>
      <c r="C59" s="81">
        <v>0</v>
      </c>
      <c r="D59" s="21">
        <v>0</v>
      </c>
      <c r="E59" s="81">
        <v>73</v>
      </c>
      <c r="F59" s="81">
        <v>3</v>
      </c>
      <c r="G59" s="1"/>
      <c r="H59" s="1"/>
      <c r="I59" s="1"/>
      <c r="J59" s="1"/>
      <c r="K59" s="1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>
      <c r="A60" s="20" t="s">
        <v>22</v>
      </c>
      <c r="B60" s="21">
        <v>60</v>
      </c>
      <c r="C60" s="29">
        <v>0</v>
      </c>
      <c r="D60" s="21">
        <v>14</v>
      </c>
      <c r="E60" s="21">
        <v>222</v>
      </c>
      <c r="F60" s="21">
        <v>19</v>
      </c>
      <c r="G60" s="1"/>
      <c r="H60" s="1"/>
      <c r="I60" s="1"/>
      <c r="J60" s="1"/>
      <c r="K60" s="1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75">
      <c r="A61" s="20" t="s">
        <v>25</v>
      </c>
      <c r="B61" s="21">
        <v>0</v>
      </c>
      <c r="C61" s="21">
        <v>0</v>
      </c>
      <c r="D61" s="21">
        <v>6</v>
      </c>
      <c r="E61" s="21">
        <v>0</v>
      </c>
      <c r="F61" s="21">
        <v>0</v>
      </c>
      <c r="L61" s="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75">
      <c r="A62" s="20" t="s">
        <v>18</v>
      </c>
      <c r="B62" s="21">
        <v>0</v>
      </c>
      <c r="C62" s="26">
        <v>0</v>
      </c>
      <c r="D62" s="26">
        <v>0</v>
      </c>
      <c r="E62" s="26">
        <v>0</v>
      </c>
      <c r="F62" s="26">
        <v>0</v>
      </c>
      <c r="L62" s="39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2.75">
      <c r="A63" s="20" t="s">
        <v>12</v>
      </c>
      <c r="B63" s="21">
        <v>0</v>
      </c>
      <c r="C63" s="21">
        <v>1</v>
      </c>
      <c r="D63" s="21">
        <v>82</v>
      </c>
      <c r="E63" s="21">
        <v>97</v>
      </c>
      <c r="F63" s="21">
        <v>51</v>
      </c>
      <c r="L63" s="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2.75">
      <c r="A64" s="20" t="s">
        <v>1235</v>
      </c>
      <c r="B64" s="29">
        <v>24</v>
      </c>
      <c r="C64" s="26">
        <v>123</v>
      </c>
      <c r="D64" s="29">
        <v>32</v>
      </c>
      <c r="E64" s="33">
        <v>116</v>
      </c>
      <c r="F64" s="21">
        <v>21</v>
      </c>
      <c r="L64" s="39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>
      <c r="A65" s="20" t="s">
        <v>519</v>
      </c>
      <c r="B65" s="29">
        <v>0</v>
      </c>
      <c r="C65" s="21">
        <v>79</v>
      </c>
      <c r="D65" s="29">
        <v>39</v>
      </c>
      <c r="E65" s="33">
        <v>5</v>
      </c>
      <c r="F65" s="21">
        <v>0</v>
      </c>
      <c r="L65" s="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16" t="s">
        <v>80</v>
      </c>
      <c r="B66" s="17" t="s">
        <v>1140</v>
      </c>
      <c r="C66" s="17" t="s">
        <v>1141</v>
      </c>
      <c r="D66" s="101" t="s">
        <v>32</v>
      </c>
      <c r="E66" s="240" t="s">
        <v>1143</v>
      </c>
      <c r="F66" s="241"/>
      <c r="G66" s="17" t="s">
        <v>505</v>
      </c>
      <c r="H66" s="17" t="s">
        <v>31</v>
      </c>
      <c r="I66" s="18" t="s">
        <v>1144</v>
      </c>
      <c r="J66" s="81" t="s">
        <v>35</v>
      </c>
      <c r="L66" s="6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>
      <c r="A67" s="20" t="s">
        <v>21</v>
      </c>
      <c r="B67" s="21">
        <v>147</v>
      </c>
      <c r="C67" s="21">
        <v>83</v>
      </c>
      <c r="D67" s="187">
        <v>46</v>
      </c>
      <c r="E67" s="21">
        <v>229</v>
      </c>
      <c r="F67" s="88">
        <v>168</v>
      </c>
      <c r="G67" s="12">
        <v>235</v>
      </c>
      <c r="H67" s="107">
        <v>46116</v>
      </c>
      <c r="I67" s="60">
        <v>5.8263888888888886E-2</v>
      </c>
      <c r="J67" s="113">
        <v>4.5023148148148149E-3</v>
      </c>
      <c r="L67" s="6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>
      <c r="A68" s="20" t="s">
        <v>1287</v>
      </c>
      <c r="B68" s="29">
        <v>148</v>
      </c>
      <c r="C68" s="190">
        <v>49</v>
      </c>
      <c r="D68" s="29">
        <v>8</v>
      </c>
      <c r="E68" s="29">
        <v>272</v>
      </c>
      <c r="F68" s="90">
        <v>289</v>
      </c>
      <c r="G68" s="29">
        <v>235</v>
      </c>
      <c r="H68" s="149">
        <v>46206</v>
      </c>
      <c r="I68" s="114">
        <v>2.8657407407407406E-2</v>
      </c>
      <c r="J68" s="114">
        <v>4.6296296296296298E-4</v>
      </c>
      <c r="L68" s="6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>
      <c r="A69" s="20" t="s">
        <v>41</v>
      </c>
      <c r="B69" s="190">
        <v>55</v>
      </c>
      <c r="C69" s="29">
        <v>66</v>
      </c>
      <c r="D69" s="12">
        <v>29</v>
      </c>
      <c r="E69" s="21">
        <v>347</v>
      </c>
      <c r="F69" s="88">
        <v>188</v>
      </c>
      <c r="G69" s="104">
        <v>273</v>
      </c>
      <c r="H69" s="107">
        <v>46026</v>
      </c>
      <c r="I69" s="60">
        <v>5.2222222222222225E-2</v>
      </c>
      <c r="J69" s="113">
        <v>2.3958333333333331E-3</v>
      </c>
      <c r="L69" s="63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>
      <c r="A70" s="20" t="s">
        <v>135</v>
      </c>
      <c r="B70" s="190">
        <v>68</v>
      </c>
      <c r="C70" s="29">
        <v>97</v>
      </c>
      <c r="D70" s="21">
        <v>25</v>
      </c>
      <c r="E70" s="21">
        <v>232</v>
      </c>
      <c r="F70" s="88">
        <v>146</v>
      </c>
      <c r="G70" s="104">
        <v>389</v>
      </c>
      <c r="H70" s="107">
        <v>46116</v>
      </c>
      <c r="I70" s="114">
        <v>4.462962962962963E-2</v>
      </c>
      <c r="J70" s="113">
        <v>2.1875000000000002E-3</v>
      </c>
      <c r="L70" s="6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2.75">
      <c r="A71" s="20" t="s">
        <v>796</v>
      </c>
      <c r="B71" s="29">
        <v>133</v>
      </c>
      <c r="C71" s="190">
        <v>32</v>
      </c>
      <c r="D71" s="12">
        <v>36</v>
      </c>
      <c r="E71" s="127" t="s">
        <v>1430</v>
      </c>
      <c r="F71" s="150" t="s">
        <v>1431</v>
      </c>
      <c r="G71" s="115" t="s">
        <v>1432</v>
      </c>
      <c r="H71" s="149">
        <v>46176</v>
      </c>
      <c r="I71" s="60">
        <v>6.3784722222222229E-2</v>
      </c>
      <c r="J71" s="154" t="s">
        <v>1433</v>
      </c>
      <c r="L71" s="6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75">
      <c r="A72" s="20" t="s">
        <v>209</v>
      </c>
      <c r="B72" s="103">
        <v>180</v>
      </c>
      <c r="C72" s="103">
        <v>66</v>
      </c>
      <c r="D72" s="187">
        <v>41</v>
      </c>
      <c r="E72" s="21">
        <v>195</v>
      </c>
      <c r="F72" s="87">
        <v>272</v>
      </c>
      <c r="G72" s="103">
        <v>302</v>
      </c>
      <c r="H72" s="107">
        <v>46116</v>
      </c>
      <c r="I72" s="9">
        <v>2.5162037037037038E-2</v>
      </c>
      <c r="J72" s="109">
        <v>5.0925925925925921E-4</v>
      </c>
      <c r="L72" s="6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>
      <c r="A73" s="20" t="s">
        <v>86</v>
      </c>
      <c r="B73" s="190">
        <v>27</v>
      </c>
      <c r="C73" s="190">
        <v>15</v>
      </c>
      <c r="D73" s="21">
        <v>13</v>
      </c>
      <c r="E73" s="127" t="s">
        <v>1434</v>
      </c>
      <c r="F73" s="150" t="s">
        <v>1435</v>
      </c>
      <c r="G73" s="29">
        <v>681</v>
      </c>
      <c r="H73" s="29">
        <v>4</v>
      </c>
      <c r="I73" s="9">
        <v>2.7696759259259258E-2</v>
      </c>
      <c r="J73" s="109">
        <v>6.134259259259259E-4</v>
      </c>
      <c r="L73" s="6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>
      <c r="A74" s="20" t="s">
        <v>87</v>
      </c>
      <c r="B74" s="189">
        <v>21</v>
      </c>
      <c r="C74" s="189">
        <v>19</v>
      </c>
      <c r="D74" s="21">
        <v>38</v>
      </c>
      <c r="E74" s="21">
        <v>324</v>
      </c>
      <c r="F74" s="87">
        <v>149</v>
      </c>
      <c r="G74" s="103">
        <v>725</v>
      </c>
      <c r="H74" s="107">
        <v>46026</v>
      </c>
      <c r="I74" s="9">
        <v>2.9131944444444443E-2</v>
      </c>
      <c r="J74" s="109">
        <v>4.0509259259259258E-4</v>
      </c>
      <c r="L74" s="6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>
      <c r="A75" s="20" t="s">
        <v>39</v>
      </c>
      <c r="B75" s="190">
        <v>49</v>
      </c>
      <c r="C75" s="29">
        <v>78</v>
      </c>
      <c r="D75" s="29">
        <v>29</v>
      </c>
      <c r="E75" s="21">
        <v>311</v>
      </c>
      <c r="F75" s="87">
        <v>114</v>
      </c>
      <c r="G75" s="29">
        <v>661</v>
      </c>
      <c r="H75" s="149">
        <v>46268</v>
      </c>
      <c r="I75" s="9">
        <v>1.9849537037037037E-2</v>
      </c>
      <c r="J75" s="109">
        <v>4.6296296296296298E-4</v>
      </c>
      <c r="L75" s="6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>
      <c r="A76" s="20" t="s">
        <v>1300</v>
      </c>
      <c r="B76" s="29">
        <v>93</v>
      </c>
      <c r="C76" s="29">
        <v>56</v>
      </c>
      <c r="D76" s="29">
        <v>21</v>
      </c>
      <c r="E76" s="21" t="s">
        <v>1145</v>
      </c>
      <c r="F76" s="21" t="s">
        <v>1145</v>
      </c>
      <c r="G76" s="29">
        <v>263</v>
      </c>
      <c r="H76" s="107">
        <v>46085</v>
      </c>
      <c r="I76" s="9">
        <v>4.6435185185185184E-2</v>
      </c>
      <c r="J76" s="109">
        <v>1.3425925925925925E-3</v>
      </c>
      <c r="L76" s="6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>
      <c r="A77" s="20" t="s">
        <v>512</v>
      </c>
      <c r="B77" s="190">
        <v>48</v>
      </c>
      <c r="C77" s="190">
        <v>25</v>
      </c>
      <c r="D77" s="29">
        <v>29</v>
      </c>
      <c r="E77" s="21">
        <v>18</v>
      </c>
      <c r="F77" s="21">
        <v>10</v>
      </c>
      <c r="G77" s="103">
        <v>1067</v>
      </c>
      <c r="H77" s="107">
        <v>46026</v>
      </c>
      <c r="I77" s="9">
        <v>3.726851851851852E-2</v>
      </c>
      <c r="J77" s="113">
        <v>2.5694444444444445E-3</v>
      </c>
      <c r="L77" s="6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>
      <c r="A78" s="20" t="s">
        <v>515</v>
      </c>
      <c r="B78" s="29">
        <v>3</v>
      </c>
      <c r="C78" s="29">
        <v>13</v>
      </c>
      <c r="D78" s="29">
        <v>5</v>
      </c>
      <c r="E78" s="21">
        <v>208</v>
      </c>
      <c r="F78" s="87">
        <v>135</v>
      </c>
      <c r="G78" s="29">
        <v>159</v>
      </c>
      <c r="H78" s="149">
        <v>46268</v>
      </c>
      <c r="I78" s="60">
        <v>5.1620370370370372E-2</v>
      </c>
      <c r="J78" s="109">
        <v>1.4814814814814814E-3</v>
      </c>
      <c r="L78" s="6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>
      <c r="A79" s="20" t="s">
        <v>1303</v>
      </c>
      <c r="B79" s="29">
        <v>293</v>
      </c>
      <c r="C79" s="29">
        <v>132</v>
      </c>
      <c r="D79" s="29">
        <v>7</v>
      </c>
      <c r="E79" s="21">
        <v>204</v>
      </c>
      <c r="F79" s="87">
        <v>258</v>
      </c>
      <c r="G79" s="104">
        <v>296</v>
      </c>
      <c r="H79" s="29">
        <v>5</v>
      </c>
      <c r="I79" s="193">
        <v>2.1631944444444443E-2</v>
      </c>
      <c r="J79" s="29">
        <v>5</v>
      </c>
      <c r="L79" s="6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>
      <c r="A80" s="20" t="s">
        <v>814</v>
      </c>
      <c r="B80" s="29">
        <v>203</v>
      </c>
      <c r="C80" s="29">
        <v>176</v>
      </c>
      <c r="D80" s="29">
        <v>11</v>
      </c>
      <c r="E80" s="21">
        <v>244</v>
      </c>
      <c r="F80" s="87">
        <v>302</v>
      </c>
      <c r="G80" s="12">
        <v>445</v>
      </c>
      <c r="H80" s="82">
        <v>46116</v>
      </c>
      <c r="I80" s="193">
        <v>2.417824074074074E-2</v>
      </c>
      <c r="J80" s="113">
        <v>2.1064814814814813E-3</v>
      </c>
      <c r="L80" s="6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>
      <c r="A81" s="20" t="s">
        <v>1436</v>
      </c>
      <c r="B81" s="29">
        <v>40</v>
      </c>
      <c r="C81" s="29">
        <v>64</v>
      </c>
      <c r="D81" s="29">
        <v>10</v>
      </c>
      <c r="E81" s="21">
        <v>241</v>
      </c>
      <c r="F81" s="87">
        <v>308</v>
      </c>
      <c r="G81" s="29">
        <v>204</v>
      </c>
      <c r="H81" s="107">
        <v>46177</v>
      </c>
      <c r="I81" s="148" t="s">
        <v>1437</v>
      </c>
      <c r="J81" s="113">
        <v>3.1712962962962962E-3</v>
      </c>
      <c r="L81" s="6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>
      <c r="A82" s="20" t="s">
        <v>1216</v>
      </c>
      <c r="B82" s="29">
        <v>41</v>
      </c>
      <c r="C82" s="29">
        <v>188</v>
      </c>
      <c r="D82" s="29">
        <v>8</v>
      </c>
      <c r="E82" s="21">
        <v>116</v>
      </c>
      <c r="F82" s="87">
        <v>152</v>
      </c>
      <c r="G82" s="29">
        <v>418</v>
      </c>
      <c r="H82" s="107">
        <v>46146</v>
      </c>
      <c r="I82" s="153">
        <v>1.5543981481481482E-2</v>
      </c>
      <c r="J82" s="109">
        <v>2.7777777777777778E-4</v>
      </c>
      <c r="L82" s="6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>
      <c r="A83" s="20" t="s">
        <v>1438</v>
      </c>
      <c r="B83" s="29">
        <v>24</v>
      </c>
      <c r="C83" s="29">
        <v>143</v>
      </c>
      <c r="D83" s="29">
        <v>11</v>
      </c>
      <c r="E83" s="152" t="s">
        <v>1439</v>
      </c>
      <c r="F83" s="87">
        <v>134</v>
      </c>
      <c r="G83" s="29">
        <v>541</v>
      </c>
      <c r="H83" s="149">
        <v>46268</v>
      </c>
      <c r="I83" s="153">
        <v>4.5937499999999999E-2</v>
      </c>
      <c r="J83" s="154" t="s">
        <v>1440</v>
      </c>
      <c r="L83" s="6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>
      <c r="A84" s="20" t="s">
        <v>27</v>
      </c>
      <c r="B84" s="190">
        <v>38</v>
      </c>
      <c r="C84" s="190">
        <v>39</v>
      </c>
      <c r="D84" s="29">
        <v>31</v>
      </c>
      <c r="E84" s="152" t="s">
        <v>1441</v>
      </c>
      <c r="F84" s="21">
        <v>7</v>
      </c>
      <c r="G84" s="29">
        <v>346</v>
      </c>
      <c r="H84" s="107">
        <v>46085</v>
      </c>
      <c r="I84" s="153">
        <v>4.238425925925926E-2</v>
      </c>
      <c r="J84" s="154" t="s">
        <v>1442</v>
      </c>
      <c r="L84" s="6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>
      <c r="A85" s="20" t="s">
        <v>38</v>
      </c>
      <c r="B85" s="29">
        <v>283</v>
      </c>
      <c r="C85" s="29">
        <v>62</v>
      </c>
      <c r="D85" s="190">
        <v>44</v>
      </c>
      <c r="E85" s="21">
        <v>232</v>
      </c>
      <c r="F85" s="152" t="s">
        <v>1148</v>
      </c>
      <c r="G85" s="152" t="s">
        <v>1443</v>
      </c>
      <c r="H85" s="21">
        <v>4</v>
      </c>
      <c r="I85" s="9">
        <v>1.9699074074074074E-2</v>
      </c>
      <c r="J85" s="109">
        <v>1.0185185185185184E-3</v>
      </c>
      <c r="L85" s="6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>
      <c r="A86" s="20" t="s">
        <v>522</v>
      </c>
      <c r="B86" s="29">
        <v>211</v>
      </c>
      <c r="C86" s="29">
        <v>69</v>
      </c>
      <c r="D86" s="29">
        <v>18</v>
      </c>
      <c r="E86" s="21">
        <v>96</v>
      </c>
      <c r="F86" s="21">
        <v>31</v>
      </c>
      <c r="G86" s="29">
        <v>408</v>
      </c>
      <c r="H86" s="107">
        <v>46026</v>
      </c>
      <c r="I86" s="60">
        <v>5.0844907407407408E-2</v>
      </c>
      <c r="J86" s="109">
        <v>1.2962962962962963E-3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>
      <c r="A87" s="20" t="s">
        <v>42</v>
      </c>
      <c r="B87" s="115" t="s">
        <v>1444</v>
      </c>
      <c r="C87" s="29">
        <v>172</v>
      </c>
      <c r="D87" s="191" t="s">
        <v>1366</v>
      </c>
      <c r="E87" s="21">
        <v>233</v>
      </c>
      <c r="F87" s="21">
        <v>73</v>
      </c>
      <c r="G87" s="115" t="s">
        <v>1445</v>
      </c>
      <c r="H87" s="29">
        <v>4</v>
      </c>
      <c r="I87" s="9">
        <v>3.7337962962962962E-2</v>
      </c>
      <c r="J87" s="109">
        <v>7.0601851851851847E-4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">
      <c r="A88" s="156" t="s">
        <v>15</v>
      </c>
      <c r="B88" s="159" t="s">
        <v>1446</v>
      </c>
      <c r="C88" s="159" t="s">
        <v>1447</v>
      </c>
      <c r="D88" s="170">
        <v>670</v>
      </c>
      <c r="E88" s="170">
        <v>3628</v>
      </c>
      <c r="F88" s="157">
        <v>2796</v>
      </c>
      <c r="G88" s="184">
        <v>7866</v>
      </c>
      <c r="H88" s="192">
        <v>4.16</v>
      </c>
      <c r="I88" s="180">
        <v>3.7303240740740741E-2</v>
      </c>
      <c r="J88" s="180">
        <v>1.5972222222222223E-3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">
      <c r="A89" s="156" t="s">
        <v>1174</v>
      </c>
      <c r="B89" s="177" t="s">
        <v>1427</v>
      </c>
      <c r="C89" s="177" t="s">
        <v>1428</v>
      </c>
      <c r="D89" s="165" t="s">
        <v>1202</v>
      </c>
      <c r="E89" s="164">
        <v>2646</v>
      </c>
      <c r="F89" s="165" t="s">
        <v>1373</v>
      </c>
      <c r="G89" s="164" t="s">
        <v>1429</v>
      </c>
      <c r="H89" s="166">
        <v>45781</v>
      </c>
      <c r="I89" s="167">
        <v>4.1666666666666664E-2</v>
      </c>
      <c r="J89" s="167">
        <v>2.0717592592592593E-3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">
      <c r="A90" s="156" t="s">
        <v>1177</v>
      </c>
      <c r="B90" s="164">
        <v>100</v>
      </c>
      <c r="C90" s="165">
        <v>59</v>
      </c>
      <c r="D90" s="165">
        <v>34</v>
      </c>
      <c r="E90" s="164">
        <v>120</v>
      </c>
      <c r="F90" s="165">
        <v>40</v>
      </c>
      <c r="G90" s="164">
        <v>308</v>
      </c>
      <c r="H90" s="165" t="s">
        <v>1203</v>
      </c>
      <c r="I90" s="167">
        <v>4.1655092592592591E-2</v>
      </c>
      <c r="J90" s="167">
        <v>1.6203703703703703E-3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26.25">
      <c r="A93" s="4" t="s">
        <v>1658</v>
      </c>
      <c r="B93" s="39"/>
      <c r="C93" s="39"/>
      <c r="D93" s="39"/>
      <c r="E93" s="39"/>
      <c r="F93" s="39"/>
      <c r="G93" s="39"/>
      <c r="H93" s="39"/>
      <c r="I93" s="39"/>
      <c r="J93" s="3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47.25" customHeight="1">
      <c r="A94" s="16" t="s">
        <v>77</v>
      </c>
      <c r="B94" s="101" t="s">
        <v>1138</v>
      </c>
      <c r="C94" s="101" t="s">
        <v>1139</v>
      </c>
      <c r="D94" s="81" t="s">
        <v>32</v>
      </c>
      <c r="E94" s="81" t="s">
        <v>33</v>
      </c>
      <c r="F94" s="81" t="s">
        <v>34</v>
      </c>
      <c r="G94" s="6"/>
      <c r="H94" s="6"/>
      <c r="I94" s="6"/>
      <c r="J94" s="6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>
      <c r="A95" s="20" t="s">
        <v>28</v>
      </c>
      <c r="B95" s="21">
        <v>0</v>
      </c>
      <c r="C95" s="26">
        <v>0</v>
      </c>
      <c r="D95" s="21">
        <v>0</v>
      </c>
      <c r="E95" s="26">
        <v>82</v>
      </c>
      <c r="F95" s="26">
        <v>2</v>
      </c>
      <c r="G95" s="39"/>
      <c r="H95" s="39"/>
      <c r="I95" s="39"/>
      <c r="J95" s="3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>
      <c r="A96" s="20" t="s">
        <v>22</v>
      </c>
      <c r="B96" s="21">
        <v>46</v>
      </c>
      <c r="C96" s="29">
        <v>0</v>
      </c>
      <c r="D96" s="21">
        <v>9</v>
      </c>
      <c r="E96" s="21">
        <v>76</v>
      </c>
      <c r="F96" s="21">
        <v>4</v>
      </c>
      <c r="G96" s="6"/>
      <c r="H96" s="6"/>
      <c r="I96" s="6"/>
      <c r="J96" s="6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>
      <c r="A97" s="20" t="s">
        <v>25</v>
      </c>
      <c r="B97" s="21">
        <v>0</v>
      </c>
      <c r="C97" s="21">
        <v>0</v>
      </c>
      <c r="D97" s="21">
        <v>3</v>
      </c>
      <c r="E97" s="21">
        <v>0</v>
      </c>
      <c r="F97" s="21">
        <v>0</v>
      </c>
      <c r="G97" s="6"/>
      <c r="H97" s="6"/>
      <c r="I97" s="6"/>
      <c r="J97" s="6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2.75">
      <c r="A98" s="20" t="s">
        <v>18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39"/>
      <c r="H98" s="39"/>
      <c r="I98" s="39"/>
      <c r="J98" s="3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2.75">
      <c r="A99" s="20" t="s">
        <v>12</v>
      </c>
      <c r="B99" s="21">
        <v>1</v>
      </c>
      <c r="C99" s="21">
        <v>0</v>
      </c>
      <c r="D99" s="21">
        <v>76</v>
      </c>
      <c r="E99" s="21">
        <v>65</v>
      </c>
      <c r="F99" s="21">
        <v>20</v>
      </c>
      <c r="G99" s="6"/>
      <c r="H99" s="6"/>
      <c r="I99" s="6"/>
      <c r="J99" s="6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>
      <c r="A100" s="20" t="s">
        <v>1235</v>
      </c>
      <c r="B100" s="24">
        <v>20</v>
      </c>
      <c r="C100" s="26">
        <v>49</v>
      </c>
      <c r="D100" s="24">
        <v>36</v>
      </c>
      <c r="E100" s="26">
        <v>45</v>
      </c>
      <c r="F100" s="26">
        <v>2</v>
      </c>
      <c r="G100" s="39"/>
      <c r="H100" s="39"/>
      <c r="I100" s="39"/>
      <c r="J100" s="3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2.75">
      <c r="A101" s="20" t="s">
        <v>519</v>
      </c>
      <c r="B101" s="29">
        <v>0</v>
      </c>
      <c r="C101" s="21">
        <v>15</v>
      </c>
      <c r="D101" s="29">
        <v>14</v>
      </c>
      <c r="E101" s="21">
        <v>46</v>
      </c>
      <c r="F101" s="21">
        <v>0</v>
      </c>
      <c r="G101" s="6"/>
      <c r="H101" s="6"/>
      <c r="I101" s="6"/>
      <c r="J101" s="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>
      <c r="A102" s="16" t="s">
        <v>80</v>
      </c>
      <c r="B102" s="101" t="s">
        <v>1140</v>
      </c>
      <c r="C102" s="101" t="s">
        <v>1141</v>
      </c>
      <c r="D102" s="101" t="s">
        <v>32</v>
      </c>
      <c r="E102" s="240" t="s">
        <v>1143</v>
      </c>
      <c r="F102" s="241"/>
      <c r="G102" s="101" t="s">
        <v>505</v>
      </c>
      <c r="H102" s="101" t="s">
        <v>31</v>
      </c>
      <c r="I102" s="81" t="s">
        <v>1144</v>
      </c>
      <c r="J102" s="81" t="s">
        <v>35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2.75">
      <c r="A103" s="20" t="s">
        <v>21</v>
      </c>
      <c r="B103" s="87">
        <v>76</v>
      </c>
      <c r="C103" s="87">
        <v>44</v>
      </c>
      <c r="D103" s="187">
        <v>36</v>
      </c>
      <c r="E103" s="21">
        <v>241</v>
      </c>
      <c r="F103" s="188">
        <v>189</v>
      </c>
      <c r="G103" s="12">
        <v>110</v>
      </c>
      <c r="H103" s="107">
        <v>46207</v>
      </c>
      <c r="I103" s="9">
        <v>3.7986111111111109E-2</v>
      </c>
      <c r="J103" s="113">
        <v>2.9050925925925928E-3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2.75">
      <c r="A104" s="20" t="s">
        <v>1287</v>
      </c>
      <c r="B104" s="29">
        <v>5</v>
      </c>
      <c r="C104" s="29">
        <v>0</v>
      </c>
      <c r="D104" s="29">
        <v>1</v>
      </c>
      <c r="E104" s="29">
        <v>206</v>
      </c>
      <c r="F104" s="190">
        <v>210</v>
      </c>
      <c r="G104" s="29">
        <v>9</v>
      </c>
      <c r="H104" s="29" t="s">
        <v>8</v>
      </c>
      <c r="I104" s="182">
        <v>0.12380787037037037</v>
      </c>
      <c r="J104" s="114">
        <v>2.3148148148148149E-4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2.75">
      <c r="A105" s="20" t="s">
        <v>41</v>
      </c>
      <c r="B105" s="90">
        <v>68</v>
      </c>
      <c r="C105" s="29">
        <v>61</v>
      </c>
      <c r="D105" s="187">
        <v>26</v>
      </c>
      <c r="E105" s="21">
        <v>238</v>
      </c>
      <c r="F105" s="188">
        <v>162</v>
      </c>
      <c r="G105" s="104">
        <v>161</v>
      </c>
      <c r="H105" s="107">
        <v>46116</v>
      </c>
      <c r="I105" s="60">
        <v>7.7754629629629632E-2</v>
      </c>
      <c r="J105" s="113">
        <v>2.8240740740740739E-3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2.75">
      <c r="A106" s="20" t="s">
        <v>135</v>
      </c>
      <c r="B106" s="90">
        <v>53</v>
      </c>
      <c r="C106" s="90">
        <v>29</v>
      </c>
      <c r="D106" s="21">
        <v>14</v>
      </c>
      <c r="E106" s="87">
        <v>102</v>
      </c>
      <c r="F106" s="12">
        <v>32</v>
      </c>
      <c r="G106" s="104">
        <v>107</v>
      </c>
      <c r="H106" s="149">
        <v>46268</v>
      </c>
      <c r="I106" s="182">
        <v>4.8877314814814818E-2</v>
      </c>
      <c r="J106" s="113">
        <v>3.7384259259259259E-3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>
      <c r="A107" s="20" t="s">
        <v>796</v>
      </c>
      <c r="B107" s="90">
        <v>63</v>
      </c>
      <c r="C107" s="90">
        <v>31</v>
      </c>
      <c r="D107" s="12">
        <v>25</v>
      </c>
      <c r="E107" s="152" t="s">
        <v>1448</v>
      </c>
      <c r="F107" s="196" t="s">
        <v>1449</v>
      </c>
      <c r="G107" s="115" t="s">
        <v>1450</v>
      </c>
      <c r="H107" s="107">
        <v>46116</v>
      </c>
      <c r="I107" s="60">
        <v>6.25E-2</v>
      </c>
      <c r="J107" s="152" t="s">
        <v>1451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2.75">
      <c r="A108" s="20" t="s">
        <v>209</v>
      </c>
      <c r="B108" s="103">
        <v>188</v>
      </c>
      <c r="C108" s="103">
        <v>76</v>
      </c>
      <c r="D108" s="21">
        <v>26</v>
      </c>
      <c r="E108" s="87">
        <v>96</v>
      </c>
      <c r="F108" s="187">
        <v>182</v>
      </c>
      <c r="G108" s="103">
        <v>245</v>
      </c>
      <c r="H108" s="107">
        <v>46085</v>
      </c>
      <c r="I108" s="9">
        <v>3.4236111111111113E-2</v>
      </c>
      <c r="J108" s="109">
        <v>9.837962962962962E-4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>
      <c r="A109" s="20" t="s">
        <v>86</v>
      </c>
      <c r="B109" s="90">
        <v>31</v>
      </c>
      <c r="C109" s="90">
        <v>10</v>
      </c>
      <c r="D109" s="21">
        <v>15</v>
      </c>
      <c r="E109" s="152" t="s">
        <v>1452</v>
      </c>
      <c r="F109" s="196" t="s">
        <v>1453</v>
      </c>
      <c r="G109" s="29">
        <v>187</v>
      </c>
      <c r="H109" s="107">
        <v>46057</v>
      </c>
      <c r="I109" s="60">
        <v>6.7407407407407402E-2</v>
      </c>
      <c r="J109" s="113">
        <v>3.6342592592592594E-3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>
      <c r="A110" s="20" t="s">
        <v>87</v>
      </c>
      <c r="B110" s="151">
        <v>25</v>
      </c>
      <c r="C110" s="151">
        <v>23</v>
      </c>
      <c r="D110" s="21">
        <v>16</v>
      </c>
      <c r="E110" s="21">
        <v>185</v>
      </c>
      <c r="F110" s="187">
        <v>145</v>
      </c>
      <c r="G110" s="103">
        <v>242</v>
      </c>
      <c r="H110" s="107">
        <v>46116</v>
      </c>
      <c r="I110" s="9">
        <v>3.1793981481481479E-2</v>
      </c>
      <c r="J110" s="109">
        <v>1.2152777777777778E-3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2.75">
      <c r="A111" s="20" t="s">
        <v>39</v>
      </c>
      <c r="B111" s="90">
        <v>62</v>
      </c>
      <c r="C111" s="29">
        <v>68</v>
      </c>
      <c r="D111" s="29">
        <v>33</v>
      </c>
      <c r="E111" s="21">
        <v>225</v>
      </c>
      <c r="F111" s="187">
        <v>150</v>
      </c>
      <c r="G111" s="29">
        <v>341</v>
      </c>
      <c r="H111" s="29">
        <v>4</v>
      </c>
      <c r="I111" s="9">
        <v>3.2604166666666663E-2</v>
      </c>
      <c r="J111" s="109">
        <v>1.4583333333333334E-3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>
      <c r="A112" s="20" t="s">
        <v>1300</v>
      </c>
      <c r="B112" s="29">
        <v>93</v>
      </c>
      <c r="C112" s="90">
        <v>39</v>
      </c>
      <c r="D112" s="29">
        <v>17</v>
      </c>
      <c r="E112" s="21">
        <v>126</v>
      </c>
      <c r="F112" s="187">
        <v>145</v>
      </c>
      <c r="G112" s="29">
        <v>80</v>
      </c>
      <c r="H112" s="107">
        <v>46238</v>
      </c>
      <c r="I112" s="9">
        <v>4.1157407407407406E-2</v>
      </c>
      <c r="J112" s="109">
        <v>1.9791666666666668E-3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>
      <c r="A113" s="20" t="s">
        <v>512</v>
      </c>
      <c r="B113" s="90">
        <v>30</v>
      </c>
      <c r="C113" s="90">
        <v>15</v>
      </c>
      <c r="D113" s="29">
        <v>22</v>
      </c>
      <c r="E113" s="87">
        <v>12</v>
      </c>
      <c r="F113" s="21">
        <v>14</v>
      </c>
      <c r="G113" s="103">
        <v>152</v>
      </c>
      <c r="H113" s="107">
        <v>46146</v>
      </c>
      <c r="I113" s="9">
        <v>3.1597222222222221E-2</v>
      </c>
      <c r="J113" s="113">
        <v>2.9282407407407408E-3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75">
      <c r="A114" s="20" t="s">
        <v>1207</v>
      </c>
      <c r="B114" s="29">
        <v>108</v>
      </c>
      <c r="C114" s="90">
        <v>32</v>
      </c>
      <c r="D114" s="29">
        <v>26</v>
      </c>
      <c r="E114" s="87">
        <v>78</v>
      </c>
      <c r="F114" s="12">
        <v>24</v>
      </c>
      <c r="G114" s="104">
        <v>132</v>
      </c>
      <c r="H114" s="29">
        <v>4</v>
      </c>
      <c r="I114" s="9">
        <v>4.4351851851851851E-2</v>
      </c>
      <c r="J114" s="113">
        <v>3.8773148148148148E-3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75">
      <c r="A115" s="20" t="s">
        <v>515</v>
      </c>
      <c r="B115" s="29">
        <v>0</v>
      </c>
      <c r="C115" s="29">
        <v>3</v>
      </c>
      <c r="D115" s="29">
        <v>1</v>
      </c>
      <c r="E115" s="21">
        <v>91</v>
      </c>
      <c r="F115" s="21">
        <v>82</v>
      </c>
      <c r="G115" s="29">
        <v>15</v>
      </c>
      <c r="H115" s="29" t="s">
        <v>8</v>
      </c>
      <c r="I115" s="60">
        <v>6.9942129629629632E-2</v>
      </c>
      <c r="J115" s="109">
        <v>2.5578703703703705E-3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>
      <c r="A116" s="20" t="s">
        <v>814</v>
      </c>
      <c r="B116" s="29">
        <v>115</v>
      </c>
      <c r="C116" s="29">
        <v>54</v>
      </c>
      <c r="D116" s="29">
        <v>13</v>
      </c>
      <c r="E116" s="21">
        <v>140</v>
      </c>
      <c r="F116" s="187">
        <v>176</v>
      </c>
      <c r="G116" s="12">
        <v>139</v>
      </c>
      <c r="H116" s="82">
        <v>46085</v>
      </c>
      <c r="I116" s="9">
        <v>4.1342592592592591E-2</v>
      </c>
      <c r="J116" s="113">
        <v>4.1203703703703706E-3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>
      <c r="A117" s="20" t="s">
        <v>1454</v>
      </c>
      <c r="B117" s="90">
        <v>50</v>
      </c>
      <c r="C117" s="29">
        <v>60</v>
      </c>
      <c r="D117" s="29">
        <v>10</v>
      </c>
      <c r="E117" s="87">
        <v>92</v>
      </c>
      <c r="F117" s="187">
        <v>126</v>
      </c>
      <c r="G117" s="29">
        <v>157</v>
      </c>
      <c r="H117" s="107">
        <v>46146</v>
      </c>
      <c r="I117" s="91">
        <v>0.17590277777777777</v>
      </c>
      <c r="J117" s="113">
        <v>3.9386574074074074E-2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>
      <c r="A118" s="20" t="s">
        <v>1216</v>
      </c>
      <c r="B118" s="90">
        <v>22</v>
      </c>
      <c r="C118" s="29">
        <v>75</v>
      </c>
      <c r="D118" s="29">
        <v>14</v>
      </c>
      <c r="E118" s="21">
        <v>103</v>
      </c>
      <c r="F118" s="187">
        <v>134</v>
      </c>
      <c r="G118" s="29">
        <v>151</v>
      </c>
      <c r="H118" s="29">
        <v>4</v>
      </c>
      <c r="I118" s="153">
        <v>2.7569444444444445E-2</v>
      </c>
      <c r="J118" s="109">
        <v>2.3263888888888887E-3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>
      <c r="A119" s="20" t="s">
        <v>1455</v>
      </c>
      <c r="B119" s="90">
        <v>32</v>
      </c>
      <c r="C119" s="29">
        <v>65</v>
      </c>
      <c r="D119" s="29">
        <v>18</v>
      </c>
      <c r="E119" s="152" t="s">
        <v>1456</v>
      </c>
      <c r="F119" s="187">
        <v>98</v>
      </c>
      <c r="G119" s="21">
        <v>198</v>
      </c>
      <c r="H119" s="21">
        <v>5</v>
      </c>
      <c r="I119" s="109">
        <v>3.574074074074074E-2</v>
      </c>
      <c r="J119" s="109">
        <v>2.4537037037037036E-3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>
      <c r="A120" s="20" t="s">
        <v>27</v>
      </c>
      <c r="B120" s="90">
        <v>48</v>
      </c>
      <c r="C120" s="90">
        <v>46</v>
      </c>
      <c r="D120" s="29">
        <v>26</v>
      </c>
      <c r="E120" s="152" t="s">
        <v>1457</v>
      </c>
      <c r="F120" s="21">
        <v>0</v>
      </c>
      <c r="G120" s="29">
        <v>221</v>
      </c>
      <c r="H120" s="107">
        <v>46177</v>
      </c>
      <c r="I120" s="153">
        <v>4.372685185185185E-2</v>
      </c>
      <c r="J120" s="154" t="s">
        <v>1458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>
      <c r="A121" s="20" t="s">
        <v>38</v>
      </c>
      <c r="B121" s="29">
        <v>140</v>
      </c>
      <c r="C121" s="29">
        <v>78</v>
      </c>
      <c r="D121" s="29">
        <v>24</v>
      </c>
      <c r="E121" s="21">
        <v>161</v>
      </c>
      <c r="F121" s="196" t="s">
        <v>1459</v>
      </c>
      <c r="G121" s="29">
        <v>202</v>
      </c>
      <c r="H121" s="107">
        <v>46085</v>
      </c>
      <c r="I121" s="153">
        <v>4.4594907407407409E-2</v>
      </c>
      <c r="J121" s="154" t="s">
        <v>1460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>
      <c r="A122" s="20" t="s">
        <v>522</v>
      </c>
      <c r="B122" s="115" t="s">
        <v>1411</v>
      </c>
      <c r="C122" s="29">
        <v>66</v>
      </c>
      <c r="D122" s="29">
        <v>14</v>
      </c>
      <c r="E122" s="87">
        <v>68</v>
      </c>
      <c r="F122" s="21">
        <v>17</v>
      </c>
      <c r="G122" s="29">
        <v>142</v>
      </c>
      <c r="H122" s="29">
        <v>4</v>
      </c>
      <c r="I122" s="60">
        <v>5.4282407407407404E-2</v>
      </c>
      <c r="J122" s="109">
        <v>3.1944444444444446E-3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>
      <c r="A123" s="20" t="s">
        <v>42</v>
      </c>
      <c r="B123" s="103">
        <v>129</v>
      </c>
      <c r="C123" s="103">
        <v>121</v>
      </c>
      <c r="D123" s="191" t="s">
        <v>1461</v>
      </c>
      <c r="E123" s="21">
        <v>158</v>
      </c>
      <c r="F123" s="187">
        <v>96</v>
      </c>
      <c r="G123" s="115" t="s">
        <v>1462</v>
      </c>
      <c r="H123" s="107">
        <v>46146</v>
      </c>
      <c r="I123" s="60">
        <v>5.3796296296296293E-2</v>
      </c>
      <c r="J123" s="109">
        <v>3.4027777777777776E-3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">
      <c r="A124" s="156" t="s">
        <v>15</v>
      </c>
      <c r="B124" s="197" t="s">
        <v>1463</v>
      </c>
      <c r="C124" s="197" t="s">
        <v>1464</v>
      </c>
      <c r="D124" s="170">
        <v>515</v>
      </c>
      <c r="E124" s="184">
        <v>2322</v>
      </c>
      <c r="F124" s="157">
        <v>1982</v>
      </c>
      <c r="G124" s="184">
        <v>2991</v>
      </c>
      <c r="H124" s="198">
        <v>4.28</v>
      </c>
      <c r="I124" s="160">
        <v>5.6238425925925928E-2</v>
      </c>
      <c r="J124" s="160">
        <v>4.6180555555555558E-3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">
      <c r="A125" s="156" t="s">
        <v>1174</v>
      </c>
      <c r="B125" s="177" t="s">
        <v>1427</v>
      </c>
      <c r="C125" s="177" t="s">
        <v>1428</v>
      </c>
      <c r="D125" s="165" t="s">
        <v>1202</v>
      </c>
      <c r="E125" s="164">
        <v>2646</v>
      </c>
      <c r="F125" s="165" t="s">
        <v>1373</v>
      </c>
      <c r="G125" s="164" t="s">
        <v>1429</v>
      </c>
      <c r="H125" s="166">
        <v>45781</v>
      </c>
      <c r="I125" s="167">
        <v>4.1666666666666664E-2</v>
      </c>
      <c r="J125" s="167">
        <v>2.0717592592592593E-3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">
      <c r="A126" s="156" t="s">
        <v>1177</v>
      </c>
      <c r="B126" s="164">
        <v>100</v>
      </c>
      <c r="C126" s="165">
        <v>59</v>
      </c>
      <c r="D126" s="165">
        <v>34</v>
      </c>
      <c r="E126" s="164">
        <v>120</v>
      </c>
      <c r="F126" s="165">
        <v>40</v>
      </c>
      <c r="G126" s="164">
        <v>308</v>
      </c>
      <c r="H126" s="165" t="s">
        <v>1203</v>
      </c>
      <c r="I126" s="167">
        <v>4.1655092592592591E-2</v>
      </c>
      <c r="J126" s="167">
        <v>1.6203703703703703E-3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">
      <c r="A127" s="199"/>
      <c r="B127" s="200"/>
      <c r="C127" s="139"/>
      <c r="D127" s="139"/>
      <c r="E127" s="200"/>
      <c r="F127" s="139"/>
      <c r="G127" s="200"/>
      <c r="H127" s="139"/>
      <c r="I127" s="201"/>
      <c r="J127" s="201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">
      <c r="A128" s="199"/>
      <c r="B128" s="200"/>
      <c r="C128" s="139"/>
      <c r="D128" s="139"/>
      <c r="E128" s="200"/>
      <c r="F128" s="139"/>
      <c r="G128" s="200"/>
      <c r="H128" s="139"/>
      <c r="I128" s="201"/>
      <c r="J128" s="201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26.25">
      <c r="A129" s="4" t="s">
        <v>1659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>
      <c r="A130" s="16" t="s">
        <v>77</v>
      </c>
      <c r="B130" s="101" t="s">
        <v>1138</v>
      </c>
      <c r="C130" s="101" t="s">
        <v>1139</v>
      </c>
      <c r="D130" s="81" t="s">
        <v>32</v>
      </c>
      <c r="E130" s="81" t="s">
        <v>33</v>
      </c>
      <c r="F130" s="81" t="s">
        <v>34</v>
      </c>
      <c r="G130" s="6"/>
      <c r="H130" s="6"/>
      <c r="I130" s="6"/>
      <c r="J130" s="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>
      <c r="A131" s="20" t="s">
        <v>28</v>
      </c>
      <c r="B131" s="21">
        <v>0</v>
      </c>
      <c r="C131" s="26">
        <v>0</v>
      </c>
      <c r="D131" s="21">
        <v>0</v>
      </c>
      <c r="E131" s="26">
        <v>74</v>
      </c>
      <c r="F131" s="26">
        <v>7</v>
      </c>
      <c r="G131" s="39"/>
      <c r="H131" s="39"/>
      <c r="I131" s="39"/>
      <c r="J131" s="3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>
      <c r="A132" s="20" t="s">
        <v>22</v>
      </c>
      <c r="B132" s="21">
        <v>47</v>
      </c>
      <c r="C132" s="29">
        <v>0</v>
      </c>
      <c r="D132" s="21">
        <v>4</v>
      </c>
      <c r="E132" s="21">
        <v>67</v>
      </c>
      <c r="F132" s="21">
        <v>0</v>
      </c>
      <c r="G132" s="6"/>
      <c r="H132" s="6"/>
      <c r="I132" s="6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>
      <c r="A133" s="20" t="s">
        <v>25</v>
      </c>
      <c r="B133" s="21">
        <v>0</v>
      </c>
      <c r="C133" s="21">
        <v>0</v>
      </c>
      <c r="D133" s="21">
        <v>15</v>
      </c>
      <c r="E133" s="21">
        <v>0</v>
      </c>
      <c r="F133" s="21">
        <v>0</v>
      </c>
      <c r="G133" s="6"/>
      <c r="H133" s="6"/>
      <c r="I133" s="6"/>
      <c r="J133" s="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>
      <c r="A134" s="20" t="s">
        <v>18</v>
      </c>
      <c r="B134" s="26">
        <v>0</v>
      </c>
      <c r="C134" s="26">
        <v>0</v>
      </c>
      <c r="D134" s="26">
        <v>0</v>
      </c>
      <c r="E134" s="26">
        <v>0</v>
      </c>
      <c r="F134" s="26">
        <v>0</v>
      </c>
      <c r="G134" s="39"/>
      <c r="H134" s="39"/>
      <c r="I134" s="39"/>
      <c r="J134" s="3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>
      <c r="A135" s="20" t="s">
        <v>12</v>
      </c>
      <c r="B135" s="21">
        <v>0</v>
      </c>
      <c r="C135" s="21">
        <v>5</v>
      </c>
      <c r="D135" s="21">
        <v>12</v>
      </c>
      <c r="E135" s="21">
        <v>95</v>
      </c>
      <c r="F135" s="21">
        <v>31</v>
      </c>
      <c r="G135" s="6"/>
      <c r="H135" s="6"/>
      <c r="I135" s="6"/>
      <c r="J135" s="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>
      <c r="A136" s="20" t="s">
        <v>1235</v>
      </c>
      <c r="B136" s="24">
        <v>26</v>
      </c>
      <c r="C136" s="26">
        <v>6</v>
      </c>
      <c r="D136" s="24">
        <v>20</v>
      </c>
      <c r="E136" s="26">
        <v>70</v>
      </c>
      <c r="F136" s="26">
        <v>9</v>
      </c>
      <c r="G136" s="39"/>
      <c r="H136" s="39"/>
      <c r="I136" s="39"/>
      <c r="J136" s="3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>
      <c r="A137" s="20" t="s">
        <v>519</v>
      </c>
      <c r="B137" s="29">
        <v>0</v>
      </c>
      <c r="C137" s="21">
        <v>1</v>
      </c>
      <c r="D137" s="29">
        <v>4</v>
      </c>
      <c r="E137" s="21">
        <v>19</v>
      </c>
      <c r="F137" s="21">
        <v>0</v>
      </c>
      <c r="G137" s="6"/>
      <c r="H137" s="6"/>
      <c r="I137" s="6"/>
      <c r="J137" s="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>
      <c r="A138" s="16" t="s">
        <v>80</v>
      </c>
      <c r="B138" s="101" t="s">
        <v>1140</v>
      </c>
      <c r="C138" s="101" t="s">
        <v>1141</v>
      </c>
      <c r="D138" s="101" t="s">
        <v>32</v>
      </c>
      <c r="E138" s="240" t="s">
        <v>1143</v>
      </c>
      <c r="F138" s="241"/>
      <c r="G138" s="101" t="s">
        <v>1465</v>
      </c>
      <c r="H138" s="101" t="s">
        <v>31</v>
      </c>
      <c r="I138" s="81" t="s">
        <v>1144</v>
      </c>
      <c r="J138" s="81" t="s">
        <v>35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>
      <c r="A139" s="202" t="s">
        <v>1466</v>
      </c>
      <c r="B139" s="21">
        <v>27</v>
      </c>
      <c r="C139" s="21">
        <v>36</v>
      </c>
      <c r="D139" s="21">
        <v>12</v>
      </c>
      <c r="E139" s="21" t="s">
        <v>1145</v>
      </c>
      <c r="F139" s="21" t="s">
        <v>1145</v>
      </c>
      <c r="G139" s="12">
        <v>83</v>
      </c>
      <c r="H139" s="107">
        <v>46146</v>
      </c>
      <c r="I139" s="9">
        <v>2.6863425925925926E-2</v>
      </c>
      <c r="J139" s="109">
        <v>2.673611111111111E-3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>
      <c r="A140" s="20" t="s">
        <v>21</v>
      </c>
      <c r="B140" s="26">
        <v>78</v>
      </c>
      <c r="C140" s="26">
        <v>34</v>
      </c>
      <c r="D140" s="26">
        <v>20</v>
      </c>
      <c r="E140" s="26">
        <v>101</v>
      </c>
      <c r="F140" s="25">
        <v>31</v>
      </c>
      <c r="G140" s="25">
        <v>127</v>
      </c>
      <c r="H140" s="24" t="s">
        <v>1467</v>
      </c>
      <c r="I140" s="27">
        <v>3.7708333333333337E-2</v>
      </c>
      <c r="J140" s="203">
        <v>3.460648148148148E-3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>
      <c r="A141" s="20" t="s">
        <v>1287</v>
      </c>
      <c r="B141" s="29">
        <v>11</v>
      </c>
      <c r="C141" s="29">
        <v>1</v>
      </c>
      <c r="D141" s="29">
        <v>0</v>
      </c>
      <c r="E141" s="29">
        <v>48</v>
      </c>
      <c r="F141" s="29">
        <v>34</v>
      </c>
      <c r="G141" s="29">
        <v>8</v>
      </c>
      <c r="H141" s="29" t="s">
        <v>1099</v>
      </c>
      <c r="I141" s="114">
        <v>2.2002314814814815E-2</v>
      </c>
      <c r="J141" s="114">
        <v>2.9166666666666668E-3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>
      <c r="A142" s="20" t="s">
        <v>41</v>
      </c>
      <c r="B142" s="24">
        <v>22</v>
      </c>
      <c r="C142" s="24">
        <v>31</v>
      </c>
      <c r="D142" s="26">
        <v>15</v>
      </c>
      <c r="E142" s="26">
        <v>87</v>
      </c>
      <c r="F142" s="25">
        <v>25</v>
      </c>
      <c r="G142" s="36">
        <v>66</v>
      </c>
      <c r="H142" s="24" t="s">
        <v>1468</v>
      </c>
      <c r="I142" s="27">
        <v>6.2615740740740736E-2</v>
      </c>
      <c r="J142" s="203">
        <v>4.1550925925925922E-3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75">
      <c r="A143" s="20" t="s">
        <v>135</v>
      </c>
      <c r="B143" s="29">
        <v>22</v>
      </c>
      <c r="C143" s="29">
        <v>30</v>
      </c>
      <c r="D143" s="21">
        <v>22</v>
      </c>
      <c r="E143" s="21">
        <v>57</v>
      </c>
      <c r="F143" s="12">
        <v>9</v>
      </c>
      <c r="G143" s="104">
        <v>84</v>
      </c>
      <c r="H143" s="29" t="s">
        <v>1469</v>
      </c>
      <c r="I143" s="114">
        <v>5.752314814814815E-2</v>
      </c>
      <c r="J143" s="109">
        <v>4.8958333333333336E-3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>
      <c r="A144" s="20" t="s">
        <v>796</v>
      </c>
      <c r="B144" s="24">
        <v>61</v>
      </c>
      <c r="C144" s="24">
        <v>29</v>
      </c>
      <c r="D144" s="25">
        <v>37</v>
      </c>
      <c r="E144" s="204" t="s">
        <v>1470</v>
      </c>
      <c r="F144" s="204" t="s">
        <v>1170</v>
      </c>
      <c r="G144" s="37" t="s">
        <v>1471</v>
      </c>
      <c r="H144" s="24" t="s">
        <v>1472</v>
      </c>
      <c r="I144" s="27">
        <v>7.1643518518518523E-2</v>
      </c>
      <c r="J144" s="204" t="s">
        <v>1473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>
      <c r="A145" s="20" t="s">
        <v>209</v>
      </c>
      <c r="B145" s="103">
        <v>81</v>
      </c>
      <c r="C145" s="103">
        <v>58</v>
      </c>
      <c r="D145" s="21">
        <v>21</v>
      </c>
      <c r="E145" s="21">
        <v>59</v>
      </c>
      <c r="F145" s="21">
        <v>29</v>
      </c>
      <c r="G145" s="103">
        <v>108</v>
      </c>
      <c r="H145" s="29" t="s">
        <v>1474</v>
      </c>
      <c r="I145" s="9">
        <v>2.8750000000000001E-2</v>
      </c>
      <c r="J145" s="109">
        <v>2.7777777777777779E-3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>
      <c r="A146" s="20" t="s">
        <v>86</v>
      </c>
      <c r="B146" s="24">
        <v>21</v>
      </c>
      <c r="C146" s="24">
        <v>5</v>
      </c>
      <c r="D146" s="26">
        <v>18</v>
      </c>
      <c r="E146" s="204" t="s">
        <v>1124</v>
      </c>
      <c r="F146" s="204" t="s">
        <v>1222</v>
      </c>
      <c r="G146" s="24">
        <v>78</v>
      </c>
      <c r="H146" s="24" t="s">
        <v>488</v>
      </c>
      <c r="I146" s="27">
        <v>4.3761574074074071E-2</v>
      </c>
      <c r="J146" s="203">
        <v>4.178240740740741E-3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>
      <c r="A147" s="20" t="s">
        <v>87</v>
      </c>
      <c r="B147" s="103">
        <v>23</v>
      </c>
      <c r="C147" s="103">
        <v>29</v>
      </c>
      <c r="D147" s="21">
        <v>31</v>
      </c>
      <c r="E147" s="21">
        <v>70</v>
      </c>
      <c r="F147" s="21">
        <v>22</v>
      </c>
      <c r="G147" s="103">
        <v>116</v>
      </c>
      <c r="H147" s="29" t="s">
        <v>488</v>
      </c>
      <c r="I147" s="9">
        <v>3.2893518518518516E-2</v>
      </c>
      <c r="J147" s="109">
        <v>2.0138888888888888E-3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>
      <c r="A148" s="20" t="s">
        <v>1475</v>
      </c>
      <c r="B148" s="34">
        <v>17</v>
      </c>
      <c r="C148" s="34">
        <v>23</v>
      </c>
      <c r="D148" s="24">
        <v>18</v>
      </c>
      <c r="E148" s="21" t="s">
        <v>1145</v>
      </c>
      <c r="F148" s="21" t="s">
        <v>1145</v>
      </c>
      <c r="G148" s="34">
        <v>78</v>
      </c>
      <c r="H148" s="24" t="s">
        <v>1476</v>
      </c>
      <c r="I148" s="27">
        <v>3.7951388888888889E-2</v>
      </c>
      <c r="J148" s="203">
        <v>1.3773148148148147E-3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>
      <c r="A149" s="20" t="s">
        <v>39</v>
      </c>
      <c r="B149" s="29">
        <v>23</v>
      </c>
      <c r="C149" s="29">
        <v>47</v>
      </c>
      <c r="D149" s="29">
        <v>24</v>
      </c>
      <c r="E149" s="21">
        <v>61</v>
      </c>
      <c r="F149" s="21">
        <v>13</v>
      </c>
      <c r="G149" s="29">
        <v>146</v>
      </c>
      <c r="H149" s="29" t="s">
        <v>1477</v>
      </c>
      <c r="I149" s="9">
        <v>2.5312500000000002E-2</v>
      </c>
      <c r="J149" s="109">
        <v>2.9166666666666668E-3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>
      <c r="A150" s="20" t="s">
        <v>1478</v>
      </c>
      <c r="B150" s="24">
        <v>33</v>
      </c>
      <c r="C150" s="24">
        <v>61</v>
      </c>
      <c r="D150" s="24">
        <v>21</v>
      </c>
      <c r="E150" s="21" t="s">
        <v>1145</v>
      </c>
      <c r="F150" s="21" t="s">
        <v>1145</v>
      </c>
      <c r="G150" s="24">
        <v>124</v>
      </c>
      <c r="H150" s="24" t="s">
        <v>1479</v>
      </c>
      <c r="I150" s="27">
        <v>2.6817129629629628E-2</v>
      </c>
      <c r="J150" s="203">
        <v>2.3842592592592591E-3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>
      <c r="A151" s="20" t="s">
        <v>1300</v>
      </c>
      <c r="B151" s="29">
        <v>52</v>
      </c>
      <c r="C151" s="29">
        <v>27</v>
      </c>
      <c r="D151" s="29">
        <v>16</v>
      </c>
      <c r="E151" s="21">
        <v>59</v>
      </c>
      <c r="F151" s="21">
        <v>30</v>
      </c>
      <c r="G151" s="29">
        <v>60</v>
      </c>
      <c r="H151" s="29" t="s">
        <v>1480</v>
      </c>
      <c r="I151" s="9">
        <v>2.9374999999999998E-2</v>
      </c>
      <c r="J151" s="109">
        <v>2.6157407407407405E-3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>
      <c r="A152" s="20" t="s">
        <v>512</v>
      </c>
      <c r="B152" s="24">
        <v>9</v>
      </c>
      <c r="C152" s="24">
        <v>6</v>
      </c>
      <c r="D152" s="24">
        <v>5</v>
      </c>
      <c r="E152" s="26">
        <v>0</v>
      </c>
      <c r="F152" s="26">
        <v>0</v>
      </c>
      <c r="G152" s="34">
        <v>51</v>
      </c>
      <c r="H152" s="24" t="s">
        <v>1472</v>
      </c>
      <c r="I152" s="27">
        <v>2.1782407407407407E-2</v>
      </c>
      <c r="J152" s="203">
        <v>1.724537037037037E-3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>
      <c r="A153" s="20" t="s">
        <v>1207</v>
      </c>
      <c r="B153" s="29">
        <v>30</v>
      </c>
      <c r="C153" s="29">
        <v>32</v>
      </c>
      <c r="D153" s="29">
        <v>23</v>
      </c>
      <c r="E153" s="21">
        <v>38</v>
      </c>
      <c r="F153" s="12">
        <v>22</v>
      </c>
      <c r="G153" s="104">
        <v>81</v>
      </c>
      <c r="H153" s="29" t="s">
        <v>1481</v>
      </c>
      <c r="I153" s="9">
        <v>3.3310185185185186E-2</v>
      </c>
      <c r="J153" s="109">
        <v>5.1273148148148146E-3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>
      <c r="A154" s="20" t="s">
        <v>515</v>
      </c>
      <c r="B154" s="24">
        <v>1</v>
      </c>
      <c r="C154" s="24">
        <v>0</v>
      </c>
      <c r="D154" s="24">
        <v>3</v>
      </c>
      <c r="E154" s="26">
        <v>88</v>
      </c>
      <c r="F154" s="26">
        <v>31</v>
      </c>
      <c r="G154" s="24">
        <v>9</v>
      </c>
      <c r="H154" s="24" t="s">
        <v>1310</v>
      </c>
      <c r="I154" s="27">
        <v>4.8564814814814818E-2</v>
      </c>
      <c r="J154" s="203">
        <v>2.1875000000000002E-3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2.75">
      <c r="A155" s="20" t="s">
        <v>1482</v>
      </c>
      <c r="B155" s="29">
        <v>44</v>
      </c>
      <c r="C155" s="29">
        <v>58</v>
      </c>
      <c r="D155" s="29">
        <v>18</v>
      </c>
      <c r="E155" s="21" t="s">
        <v>1145</v>
      </c>
      <c r="F155" s="21" t="s">
        <v>1145</v>
      </c>
      <c r="G155" s="104">
        <v>95</v>
      </c>
      <c r="H155" s="29" t="s">
        <v>1483</v>
      </c>
      <c r="I155" s="9">
        <v>2.7534722222222221E-2</v>
      </c>
      <c r="J155" s="109">
        <v>3.7962962962962963E-3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2.75">
      <c r="A156" s="20" t="s">
        <v>814</v>
      </c>
      <c r="B156" s="24">
        <v>51</v>
      </c>
      <c r="C156" s="24">
        <v>90</v>
      </c>
      <c r="D156" s="24">
        <v>11</v>
      </c>
      <c r="E156" s="26">
        <v>63</v>
      </c>
      <c r="F156" s="26">
        <v>33</v>
      </c>
      <c r="G156" s="25">
        <v>113</v>
      </c>
      <c r="H156" s="26" t="s">
        <v>1484</v>
      </c>
      <c r="I156" s="27">
        <v>4.1342592592592591E-2</v>
      </c>
      <c r="J156" s="203">
        <v>7.7314814814814815E-3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2.75">
      <c r="A157" s="20" t="s">
        <v>1485</v>
      </c>
      <c r="B157" s="29">
        <v>11</v>
      </c>
      <c r="C157" s="29">
        <v>62</v>
      </c>
      <c r="D157" s="29">
        <v>17</v>
      </c>
      <c r="E157" s="21">
        <v>51</v>
      </c>
      <c r="F157" s="21">
        <v>23</v>
      </c>
      <c r="G157" s="29">
        <v>86</v>
      </c>
      <c r="H157" s="29" t="s">
        <v>1098</v>
      </c>
      <c r="I157" s="153">
        <v>3.4386574074074076E-2</v>
      </c>
      <c r="J157" s="109">
        <v>5.5555555555555558E-3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2.75">
      <c r="A158" s="20" t="s">
        <v>1216</v>
      </c>
      <c r="B158" s="24">
        <v>26</v>
      </c>
      <c r="C158" s="24">
        <v>39</v>
      </c>
      <c r="D158" s="24">
        <v>18</v>
      </c>
      <c r="E158" s="26">
        <v>32</v>
      </c>
      <c r="F158" s="26">
        <v>25</v>
      </c>
      <c r="G158" s="24">
        <v>106</v>
      </c>
      <c r="H158" s="24" t="s">
        <v>1486</v>
      </c>
      <c r="I158" s="61">
        <v>3.2604166666666663E-2</v>
      </c>
      <c r="J158" s="203">
        <v>3.8425925925925928E-3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>
      <c r="A159" s="20" t="s">
        <v>1487</v>
      </c>
      <c r="B159" s="29">
        <v>6</v>
      </c>
      <c r="C159" s="29">
        <v>24</v>
      </c>
      <c r="D159" s="29">
        <v>9</v>
      </c>
      <c r="E159" s="152" t="s">
        <v>1488</v>
      </c>
      <c r="F159" s="21">
        <v>11</v>
      </c>
      <c r="G159" s="21">
        <v>44</v>
      </c>
      <c r="H159" s="21" t="s">
        <v>1288</v>
      </c>
      <c r="I159" s="109">
        <v>3.861111111111111E-2</v>
      </c>
      <c r="J159" s="109">
        <v>3.6226851851851854E-3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>
      <c r="A160" s="20" t="s">
        <v>27</v>
      </c>
      <c r="B160" s="24">
        <v>31</v>
      </c>
      <c r="C160" s="24">
        <v>39</v>
      </c>
      <c r="D160" s="24">
        <v>26</v>
      </c>
      <c r="E160" s="204" t="s">
        <v>1238</v>
      </c>
      <c r="F160" s="26">
        <v>0</v>
      </c>
      <c r="G160" s="24">
        <v>112</v>
      </c>
      <c r="H160" s="24" t="s">
        <v>1489</v>
      </c>
      <c r="I160" s="61">
        <v>3.1967592592592596E-2</v>
      </c>
      <c r="J160" s="204" t="s">
        <v>1490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>
      <c r="A161" s="20" t="s">
        <v>38</v>
      </c>
      <c r="B161" s="29">
        <v>90</v>
      </c>
      <c r="C161" s="29">
        <v>55</v>
      </c>
      <c r="D161" s="29">
        <v>37</v>
      </c>
      <c r="E161" s="21">
        <v>70</v>
      </c>
      <c r="F161" s="152" t="s">
        <v>1312</v>
      </c>
      <c r="G161" s="29">
        <v>115</v>
      </c>
      <c r="H161" s="29" t="s">
        <v>1286</v>
      </c>
      <c r="I161" s="153">
        <v>2.78125E-2</v>
      </c>
      <c r="J161" s="152" t="s">
        <v>1491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>
      <c r="A162" s="20" t="s">
        <v>522</v>
      </c>
      <c r="B162" s="205" t="s">
        <v>1492</v>
      </c>
      <c r="C162" s="206">
        <v>77</v>
      </c>
      <c r="D162" s="205" t="s">
        <v>1291</v>
      </c>
      <c r="E162" s="207">
        <v>41</v>
      </c>
      <c r="F162" s="207">
        <v>9</v>
      </c>
      <c r="G162" s="206">
        <v>125</v>
      </c>
      <c r="H162" s="206" t="s">
        <v>1493</v>
      </c>
      <c r="I162" s="23">
        <v>5.8622685185185187E-2</v>
      </c>
      <c r="J162" s="208">
        <v>8.4606481481481477E-3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>
      <c r="A163" s="20" t="s">
        <v>42</v>
      </c>
      <c r="B163" s="209">
        <v>47</v>
      </c>
      <c r="C163" s="209">
        <v>49</v>
      </c>
      <c r="D163" s="205" t="s">
        <v>1494</v>
      </c>
      <c r="E163" s="207">
        <v>74</v>
      </c>
      <c r="F163" s="207">
        <v>27</v>
      </c>
      <c r="G163" s="205" t="s">
        <v>1337</v>
      </c>
      <c r="H163" s="206" t="s">
        <v>1495</v>
      </c>
      <c r="I163" s="23">
        <v>2.8993055555555557E-2</v>
      </c>
      <c r="J163" s="208">
        <v>3.0092592592592593E-3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>
      <c r="A164" s="20" t="s">
        <v>1496</v>
      </c>
      <c r="B164" s="209">
        <v>30</v>
      </c>
      <c r="C164" s="209">
        <v>38</v>
      </c>
      <c r="D164" s="205" t="s">
        <v>1497</v>
      </c>
      <c r="E164" s="21" t="s">
        <v>1145</v>
      </c>
      <c r="F164" s="21" t="s">
        <v>1145</v>
      </c>
      <c r="G164" s="152" t="s">
        <v>1233</v>
      </c>
      <c r="H164" s="21" t="s">
        <v>1498</v>
      </c>
      <c r="I164" s="109">
        <v>3.4722222222222224E-2</v>
      </c>
      <c r="J164" s="109">
        <v>1.5856481481481481E-3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">
      <c r="A165" s="156" t="s">
        <v>15</v>
      </c>
      <c r="B165" s="197" t="s">
        <v>1499</v>
      </c>
      <c r="C165" s="197" t="s">
        <v>1500</v>
      </c>
      <c r="D165" s="170">
        <v>477</v>
      </c>
      <c r="E165" s="184" t="s">
        <v>1501</v>
      </c>
      <c r="F165" s="170">
        <v>374</v>
      </c>
      <c r="G165" s="184">
        <v>2015</v>
      </c>
      <c r="H165" s="210" t="s">
        <v>1381</v>
      </c>
      <c r="I165" s="180">
        <v>3.7060185185185182E-2</v>
      </c>
      <c r="J165" s="160">
        <v>3.6111111111111109E-3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">
      <c r="A166" s="156" t="s">
        <v>1174</v>
      </c>
      <c r="B166" s="177" t="s">
        <v>1502</v>
      </c>
      <c r="C166" s="177" t="s">
        <v>1503</v>
      </c>
      <c r="D166" s="165" t="s">
        <v>1202</v>
      </c>
      <c r="E166" s="164">
        <v>2646</v>
      </c>
      <c r="F166" s="165" t="s">
        <v>1373</v>
      </c>
      <c r="G166" s="164" t="s">
        <v>1429</v>
      </c>
      <c r="H166" s="166">
        <v>45781</v>
      </c>
      <c r="I166" s="167">
        <v>4.1666666666666664E-2</v>
      </c>
      <c r="J166" s="167">
        <v>2.0717592592592593E-3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">
      <c r="A167" s="156" t="s">
        <v>1177</v>
      </c>
      <c r="B167" s="164">
        <v>53</v>
      </c>
      <c r="C167" s="165">
        <v>38</v>
      </c>
      <c r="D167" s="165">
        <v>34</v>
      </c>
      <c r="E167" s="164">
        <v>120</v>
      </c>
      <c r="F167" s="165">
        <v>40</v>
      </c>
      <c r="G167" s="164">
        <v>308</v>
      </c>
      <c r="H167" s="165" t="s">
        <v>1203</v>
      </c>
      <c r="I167" s="167">
        <v>4.1655092592592591E-2</v>
      </c>
      <c r="J167" s="167">
        <v>1.6203703703703703E-3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</sheetData>
  <mergeCells count="4">
    <mergeCell ref="F29:G29"/>
    <mergeCell ref="E66:F66"/>
    <mergeCell ref="E102:F102"/>
    <mergeCell ref="E138:F138"/>
  </mergeCells>
  <conditionalFormatting sqref="G2:H8 J2:K8">
    <cfRule type="notContainsBlanks" dxfId="2" priority="1">
      <formula>LEN(TRIM(G2))&gt;0</formula>
    </cfRule>
  </conditionalFormatting>
  <pageMargins left="0.511811024" right="0.511811024" top="0.78740157499999996" bottom="0.78740157499999996" header="0.31496062000000002" footer="0.31496062000000002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C334"/>
  <sheetViews>
    <sheetView topLeftCell="A179" workbookViewId="0">
      <selection activeCell="B195" sqref="B195"/>
    </sheetView>
  </sheetViews>
  <sheetFormatPr defaultColWidth="12.5703125" defaultRowHeight="15.75" customHeight="1"/>
  <cols>
    <col min="1" max="1" width="72.7109375" customWidth="1"/>
    <col min="2" max="2" width="23" customWidth="1"/>
    <col min="3" max="3" width="16.42578125" customWidth="1"/>
    <col min="4" max="4" width="15.28515625" customWidth="1"/>
    <col min="5" max="5" width="14.7109375" customWidth="1"/>
    <col min="6" max="6" width="15" customWidth="1"/>
    <col min="7" max="7" width="15.42578125" customWidth="1"/>
    <col min="8" max="8" width="15.7109375" customWidth="1"/>
    <col min="9" max="9" width="14.7109375" customWidth="1"/>
    <col min="10" max="10" width="13.28515625" customWidth="1"/>
    <col min="11" max="11" width="28" customWidth="1"/>
    <col min="12" max="12" width="15" customWidth="1"/>
    <col min="13" max="13" width="14" customWidth="1"/>
    <col min="14" max="14" width="14.85546875" customWidth="1"/>
  </cols>
  <sheetData>
    <row r="1" spans="1:26" ht="26.25">
      <c r="A1" s="4" t="s">
        <v>1665</v>
      </c>
      <c r="B1" s="5" t="s">
        <v>1086</v>
      </c>
      <c r="C1" s="5" t="s">
        <v>1087</v>
      </c>
      <c r="D1" s="5" t="s">
        <v>1088</v>
      </c>
      <c r="E1" s="5" t="s">
        <v>1089</v>
      </c>
      <c r="F1" s="5" t="s">
        <v>1091</v>
      </c>
      <c r="G1" s="211" t="s">
        <v>1504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6" ht="17.25" customHeight="1">
      <c r="A2" s="8" t="s">
        <v>1505</v>
      </c>
      <c r="B2" s="212">
        <v>3.6759259259259262E-2</v>
      </c>
      <c r="C2" s="212">
        <v>3.5543981481481482E-2</v>
      </c>
      <c r="D2" s="212">
        <v>3.2800925925925928E-2</v>
      </c>
      <c r="E2" s="46">
        <v>3.0983796296296297E-2</v>
      </c>
      <c r="F2" s="46">
        <v>3.4027777777777775E-2</v>
      </c>
      <c r="G2" s="213">
        <v>4.4270833333333336E-2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6">
      <c r="A3" s="8" t="s">
        <v>1506</v>
      </c>
      <c r="B3" s="212">
        <v>2.9629629629629628E-3</v>
      </c>
      <c r="C3" s="212">
        <v>2.476851851851852E-3</v>
      </c>
      <c r="D3" s="212">
        <v>1.8055555555555555E-3</v>
      </c>
      <c r="E3" s="46">
        <v>1.4583333333333334E-3</v>
      </c>
      <c r="F3" s="46">
        <v>2.1759259259259258E-3</v>
      </c>
      <c r="G3" s="213">
        <v>2.8703703703703703E-3</v>
      </c>
      <c r="H3" s="7"/>
      <c r="I3" s="7"/>
      <c r="J3" s="7"/>
      <c r="K3" s="48" t="s">
        <v>50</v>
      </c>
      <c r="L3" s="7" t="s">
        <v>51</v>
      </c>
      <c r="M3" s="7"/>
      <c r="N3" s="7"/>
      <c r="O3" s="48"/>
      <c r="P3" s="7"/>
      <c r="Q3" s="7"/>
      <c r="R3" s="7"/>
      <c r="S3" s="7"/>
      <c r="T3" s="7"/>
      <c r="U3" s="7"/>
      <c r="V3" s="7"/>
      <c r="W3" s="7"/>
    </row>
    <row r="4" spans="1:26">
      <c r="A4" s="8" t="s">
        <v>1507</v>
      </c>
      <c r="B4" s="212">
        <v>3.1018518518518517E-3</v>
      </c>
      <c r="C4" s="212">
        <v>3.2175925925925926E-3</v>
      </c>
      <c r="D4" s="212">
        <v>2.9745370370370373E-3</v>
      </c>
      <c r="E4" s="46">
        <v>2.7893518518518519E-3</v>
      </c>
      <c r="F4" s="46">
        <v>3.0208333333333333E-3</v>
      </c>
      <c r="G4" s="213">
        <v>3.1365740740740742E-3</v>
      </c>
      <c r="H4" s="7"/>
      <c r="I4" s="7"/>
      <c r="J4" s="7"/>
      <c r="K4" s="49" t="s">
        <v>53</v>
      </c>
      <c r="L4" s="7" t="s">
        <v>54</v>
      </c>
      <c r="M4" s="7"/>
      <c r="N4" s="7"/>
      <c r="O4" s="49"/>
      <c r="P4" s="7"/>
      <c r="Q4" s="7"/>
      <c r="R4" s="7"/>
      <c r="S4" s="7"/>
      <c r="T4" s="7"/>
      <c r="U4" s="7"/>
      <c r="V4" s="7"/>
      <c r="W4" s="7"/>
    </row>
    <row r="5" spans="1:26">
      <c r="A5" s="8" t="s">
        <v>1508</v>
      </c>
      <c r="B5" s="117">
        <v>9180</v>
      </c>
      <c r="C5" s="117">
        <v>7763</v>
      </c>
      <c r="D5" s="117">
        <v>9883</v>
      </c>
      <c r="E5" s="54">
        <v>9841</v>
      </c>
      <c r="F5" s="54">
        <v>36667</v>
      </c>
      <c r="G5" s="214"/>
      <c r="H5" s="7"/>
      <c r="I5" s="7"/>
      <c r="J5" s="7"/>
      <c r="K5" s="52"/>
      <c r="L5" s="7"/>
      <c r="M5" s="7"/>
      <c r="N5" s="7"/>
      <c r="O5" s="52"/>
      <c r="P5" s="7"/>
      <c r="Q5" s="7"/>
      <c r="R5" s="7"/>
      <c r="S5" s="7"/>
      <c r="T5" s="7"/>
      <c r="U5" s="7"/>
      <c r="V5" s="7"/>
      <c r="W5" s="7"/>
    </row>
    <row r="6" spans="1:26">
      <c r="A6" s="8" t="s">
        <v>1509</v>
      </c>
      <c r="B6" s="92" t="s">
        <v>1510</v>
      </c>
      <c r="C6" s="92" t="s">
        <v>1511</v>
      </c>
      <c r="D6" s="92" t="s">
        <v>1472</v>
      </c>
      <c r="E6" s="92" t="s">
        <v>1468</v>
      </c>
      <c r="F6" s="51">
        <v>4.47</v>
      </c>
      <c r="G6" s="215" t="s">
        <v>1382</v>
      </c>
      <c r="H6" s="7"/>
      <c r="I6" s="7"/>
      <c r="J6" s="7"/>
      <c r="K6" s="52" t="s">
        <v>56</v>
      </c>
      <c r="L6" s="7" t="s">
        <v>57</v>
      </c>
      <c r="M6" s="7"/>
      <c r="N6" s="7"/>
      <c r="O6" s="52"/>
      <c r="P6" s="7"/>
      <c r="Q6" s="7"/>
      <c r="R6" s="7"/>
      <c r="S6" s="7"/>
      <c r="T6" s="7"/>
      <c r="U6" s="7"/>
      <c r="V6" s="7"/>
      <c r="W6" s="7"/>
    </row>
    <row r="7" spans="1:26">
      <c r="A7" s="8" t="s">
        <v>1512</v>
      </c>
      <c r="B7" s="216">
        <v>0.98</v>
      </c>
      <c r="C7" s="216">
        <v>0.98</v>
      </c>
      <c r="D7" s="216">
        <v>1</v>
      </c>
      <c r="E7" s="53">
        <v>0.99</v>
      </c>
      <c r="F7" s="53">
        <v>0.99</v>
      </c>
      <c r="G7" s="217">
        <v>0.97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6">
      <c r="A8" s="8" t="s">
        <v>1513</v>
      </c>
      <c r="B8" s="117">
        <v>524</v>
      </c>
      <c r="C8" s="92">
        <v>487</v>
      </c>
      <c r="D8" s="92">
        <v>524</v>
      </c>
      <c r="E8" s="54">
        <v>405</v>
      </c>
      <c r="F8" s="54">
        <v>1940</v>
      </c>
      <c r="G8" s="218" t="s">
        <v>1385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6">
      <c r="A9" s="8" t="s">
        <v>1514</v>
      </c>
      <c r="B9" s="117">
        <v>498</v>
      </c>
      <c r="C9" s="92">
        <v>486</v>
      </c>
      <c r="D9" s="92">
        <v>532</v>
      </c>
      <c r="E9" s="54">
        <v>627</v>
      </c>
      <c r="F9" s="54">
        <v>2143</v>
      </c>
      <c r="G9" s="218" t="s">
        <v>1388</v>
      </c>
      <c r="H9" s="7"/>
      <c r="I9" s="7"/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6">
      <c r="A10" s="8" t="s">
        <v>1515</v>
      </c>
      <c r="B10" s="92">
        <v>1809</v>
      </c>
      <c r="C10" s="92">
        <v>2129</v>
      </c>
      <c r="D10" s="92">
        <v>1619</v>
      </c>
      <c r="E10" s="54">
        <v>1636</v>
      </c>
      <c r="F10" s="55" t="s">
        <v>1516</v>
      </c>
      <c r="G10" s="218" t="s">
        <v>1394</v>
      </c>
      <c r="H10" s="7"/>
      <c r="I10" s="7"/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6">
      <c r="A11" s="8" t="s">
        <v>1517</v>
      </c>
      <c r="B11" s="92">
        <v>2307</v>
      </c>
      <c r="C11" s="92">
        <v>2615</v>
      </c>
      <c r="D11" s="92">
        <v>2151</v>
      </c>
      <c r="E11" s="54">
        <v>2263</v>
      </c>
      <c r="F11" s="55" t="s">
        <v>1518</v>
      </c>
      <c r="G11" s="218" t="s">
        <v>1400</v>
      </c>
      <c r="H11" s="7"/>
      <c r="I11" s="7"/>
      <c r="J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6">
      <c r="A12" s="8" t="s">
        <v>1519</v>
      </c>
      <c r="B12" s="92">
        <v>85</v>
      </c>
      <c r="C12" s="92">
        <v>229</v>
      </c>
      <c r="D12" s="92">
        <v>102</v>
      </c>
      <c r="E12" s="51">
        <v>48</v>
      </c>
      <c r="F12" s="51">
        <v>464</v>
      </c>
      <c r="G12" s="215">
        <v>524</v>
      </c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6">
      <c r="A13" s="8" t="s">
        <v>1520</v>
      </c>
      <c r="B13" s="119" t="s">
        <v>1128</v>
      </c>
      <c r="C13" s="219">
        <v>0.99560000000000004</v>
      </c>
      <c r="D13" s="216">
        <v>0.99</v>
      </c>
      <c r="E13" s="55" t="s">
        <v>1521</v>
      </c>
      <c r="F13" s="51" t="s">
        <v>1522</v>
      </c>
      <c r="G13" s="217">
        <v>0.96</v>
      </c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6" ht="15">
      <c r="A14" s="8" t="s">
        <v>74</v>
      </c>
      <c r="B14" s="219">
        <v>2.93E-2</v>
      </c>
      <c r="C14" s="119" t="s">
        <v>1523</v>
      </c>
      <c r="D14" s="119" t="s">
        <v>1524</v>
      </c>
      <c r="E14" s="55" t="s">
        <v>1525</v>
      </c>
      <c r="F14" s="220" t="s">
        <v>1526</v>
      </c>
      <c r="G14" s="221">
        <v>4.7199999999999999E-2</v>
      </c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6">
      <c r="A15" s="8" t="s">
        <v>1527</v>
      </c>
      <c r="B15" s="119" t="s">
        <v>1528</v>
      </c>
      <c r="C15" s="119" t="s">
        <v>1529</v>
      </c>
      <c r="D15" s="119" t="s">
        <v>1530</v>
      </c>
      <c r="E15" s="119" t="s">
        <v>1531</v>
      </c>
      <c r="F15" s="119" t="s">
        <v>1531</v>
      </c>
      <c r="G15" s="218" t="s">
        <v>1410</v>
      </c>
      <c r="H15" s="7"/>
      <c r="I15" s="7"/>
      <c r="J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6" ht="12.75"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9" ht="12.75"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9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26.25">
      <c r="A19" s="4" t="s">
        <v>1666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16" t="s">
        <v>77</v>
      </c>
      <c r="B20" s="101" t="s">
        <v>1138</v>
      </c>
      <c r="C20" s="101" t="s">
        <v>1139</v>
      </c>
      <c r="D20" s="81" t="s">
        <v>32</v>
      </c>
      <c r="E20" s="81" t="s">
        <v>33</v>
      </c>
      <c r="F20" s="81" t="s">
        <v>34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2.75">
      <c r="A21" s="31" t="s">
        <v>28</v>
      </c>
      <c r="B21" s="81">
        <v>1</v>
      </c>
      <c r="C21" s="81">
        <v>0</v>
      </c>
      <c r="D21" s="81">
        <v>2</v>
      </c>
      <c r="E21" s="81">
        <v>71</v>
      </c>
      <c r="F21" s="81">
        <v>7</v>
      </c>
      <c r="G21" s="1"/>
      <c r="H21" s="1"/>
      <c r="I21" s="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2.75">
      <c r="A22" s="20" t="s">
        <v>22</v>
      </c>
      <c r="B22" s="81">
        <v>32</v>
      </c>
      <c r="C22" s="29">
        <v>0</v>
      </c>
      <c r="D22" s="21">
        <v>27</v>
      </c>
      <c r="E22" s="21">
        <v>145</v>
      </c>
      <c r="F22" s="21">
        <v>6</v>
      </c>
      <c r="G22" s="1"/>
      <c r="H22" s="1"/>
      <c r="I22" s="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2.75">
      <c r="A23" s="20" t="s">
        <v>25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2.75">
      <c r="A24" s="20" t="s">
        <v>18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2.75">
      <c r="A25" s="20" t="s">
        <v>12</v>
      </c>
      <c r="B25" s="21">
        <v>0</v>
      </c>
      <c r="C25" s="21">
        <v>0</v>
      </c>
      <c r="D25" s="21">
        <v>5</v>
      </c>
      <c r="E25" s="21">
        <v>120</v>
      </c>
      <c r="F25" s="21">
        <v>33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2.75">
      <c r="A26" s="20" t="s">
        <v>209</v>
      </c>
      <c r="B26" s="26">
        <v>44</v>
      </c>
      <c r="C26" s="29">
        <v>0</v>
      </c>
      <c r="D26" s="29">
        <v>0</v>
      </c>
      <c r="E26" s="33">
        <v>12</v>
      </c>
      <c r="F26" s="21"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2.75">
      <c r="A27" s="20" t="s">
        <v>519</v>
      </c>
      <c r="B27" s="29">
        <v>0</v>
      </c>
      <c r="C27" s="21">
        <v>0</v>
      </c>
      <c r="D27" s="29">
        <v>3</v>
      </c>
      <c r="E27" s="33">
        <v>16</v>
      </c>
      <c r="F27" s="21"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>
      <c r="A28" s="16" t="s">
        <v>80</v>
      </c>
      <c r="B28" s="17" t="s">
        <v>1140</v>
      </c>
      <c r="C28" s="17" t="s">
        <v>1141</v>
      </c>
      <c r="D28" s="101" t="s">
        <v>32</v>
      </c>
      <c r="E28" s="240" t="s">
        <v>1143</v>
      </c>
      <c r="F28" s="241"/>
      <c r="G28" s="17" t="s">
        <v>31</v>
      </c>
      <c r="H28" s="18" t="s">
        <v>1144</v>
      </c>
      <c r="I28" s="81" t="s">
        <v>35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2.75">
      <c r="A29" s="202" t="s">
        <v>1466</v>
      </c>
      <c r="B29" s="87">
        <v>28</v>
      </c>
      <c r="C29" s="21">
        <v>39</v>
      </c>
      <c r="D29" s="21">
        <v>9</v>
      </c>
      <c r="E29" s="21" t="s">
        <v>1145</v>
      </c>
      <c r="F29" s="21" t="s">
        <v>1145</v>
      </c>
      <c r="G29" s="12" t="s">
        <v>1532</v>
      </c>
      <c r="H29" s="114">
        <v>3.2141203703703707E-2</v>
      </c>
      <c r="I29" s="113">
        <v>2.2916666666666667E-3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2.75">
      <c r="A30" s="20" t="s">
        <v>21</v>
      </c>
      <c r="B30" s="24">
        <v>47</v>
      </c>
      <c r="C30" s="24">
        <v>45</v>
      </c>
      <c r="D30" s="90">
        <v>21</v>
      </c>
      <c r="E30" s="32">
        <v>108</v>
      </c>
      <c r="F30" s="90">
        <v>50</v>
      </c>
      <c r="G30" s="24" t="s">
        <v>1099</v>
      </c>
      <c r="H30" s="222">
        <v>3.9375E-2</v>
      </c>
      <c r="I30" s="182">
        <v>2.7083333333333334E-3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2.75">
      <c r="A31" s="20" t="s">
        <v>1287</v>
      </c>
      <c r="B31" s="90">
        <v>18</v>
      </c>
      <c r="C31" s="90">
        <v>19</v>
      </c>
      <c r="D31" s="21">
        <v>14</v>
      </c>
      <c r="E31" s="33">
        <v>70</v>
      </c>
      <c r="F31" s="87">
        <v>29</v>
      </c>
      <c r="G31" s="104" t="s">
        <v>1533</v>
      </c>
      <c r="H31" s="114">
        <v>2.3425925925925926E-2</v>
      </c>
      <c r="I31" s="109">
        <v>1.4351851851851852E-3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2.75">
      <c r="A32" s="20" t="s">
        <v>41</v>
      </c>
      <c r="B32" s="24">
        <v>53</v>
      </c>
      <c r="C32" s="24">
        <v>48</v>
      </c>
      <c r="D32" s="87">
        <v>25</v>
      </c>
      <c r="E32" s="32">
        <v>61</v>
      </c>
      <c r="F32" s="87">
        <v>26</v>
      </c>
      <c r="G32" s="36" t="s">
        <v>1298</v>
      </c>
      <c r="H32" s="182">
        <v>4.3541666666666666E-2</v>
      </c>
      <c r="I32" s="222">
        <v>1.5393518518518519E-3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2.75">
      <c r="A33" s="20" t="s">
        <v>135</v>
      </c>
      <c r="B33" s="29">
        <v>38</v>
      </c>
      <c r="C33" s="90">
        <v>31</v>
      </c>
      <c r="D33" s="21">
        <v>17</v>
      </c>
      <c r="E33" s="33">
        <v>57</v>
      </c>
      <c r="F33" s="150" t="s">
        <v>1123</v>
      </c>
      <c r="G33" s="115" t="s">
        <v>1534</v>
      </c>
      <c r="H33" s="182">
        <v>7.1736111111111112E-2</v>
      </c>
      <c r="I33" s="113">
        <v>6.145833333333333E-3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2.75">
      <c r="A34" s="20" t="s">
        <v>796</v>
      </c>
      <c r="B34" s="34">
        <v>41</v>
      </c>
      <c r="C34" s="151">
        <v>29</v>
      </c>
      <c r="D34" s="87">
        <v>24</v>
      </c>
      <c r="E34" s="32">
        <v>66</v>
      </c>
      <c r="F34" s="87">
        <v>23</v>
      </c>
      <c r="G34" s="24" t="s">
        <v>1099</v>
      </c>
      <c r="H34" s="222">
        <v>3.1898148148148148E-2</v>
      </c>
      <c r="I34" s="203">
        <v>1.712962962962963E-3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2.75">
      <c r="A35" s="20" t="s">
        <v>209</v>
      </c>
      <c r="B35" s="90">
        <v>25</v>
      </c>
      <c r="C35" s="90">
        <v>22</v>
      </c>
      <c r="D35" s="87">
        <v>22</v>
      </c>
      <c r="E35" s="33">
        <v>46</v>
      </c>
      <c r="F35" s="127" t="s">
        <v>1222</v>
      </c>
      <c r="G35" s="29" t="s">
        <v>1484</v>
      </c>
      <c r="H35" s="114">
        <v>1.6944444444444446E-2</v>
      </c>
      <c r="I35" s="109">
        <v>9.0277777777777774E-4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2.75">
      <c r="A36" s="20" t="s">
        <v>86</v>
      </c>
      <c r="B36" s="151">
        <v>9</v>
      </c>
      <c r="C36" s="151">
        <v>15</v>
      </c>
      <c r="D36" s="90">
        <v>23</v>
      </c>
      <c r="E36" s="32">
        <v>77</v>
      </c>
      <c r="F36" s="87">
        <v>32</v>
      </c>
      <c r="G36" s="37" t="s">
        <v>1535</v>
      </c>
      <c r="H36" s="182">
        <v>4.7696759259259258E-2</v>
      </c>
      <c r="I36" s="113">
        <v>4.3055555555555555E-3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2.75">
      <c r="A37" s="20" t="s">
        <v>1475</v>
      </c>
      <c r="B37" s="90">
        <v>31</v>
      </c>
      <c r="C37" s="90">
        <v>25</v>
      </c>
      <c r="D37" s="29">
        <v>11</v>
      </c>
      <c r="E37" s="21" t="s">
        <v>1145</v>
      </c>
      <c r="F37" s="21" t="s">
        <v>1145</v>
      </c>
      <c r="G37" s="29" t="s">
        <v>1489</v>
      </c>
      <c r="H37" s="114">
        <v>3.0312499999999999E-2</v>
      </c>
      <c r="I37" s="109">
        <v>1.4004629629629629E-3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2.75">
      <c r="A38" s="20" t="s">
        <v>39</v>
      </c>
      <c r="B38" s="24">
        <v>38</v>
      </c>
      <c r="C38" s="24">
        <v>67</v>
      </c>
      <c r="D38" s="90">
        <v>30</v>
      </c>
      <c r="E38" s="32">
        <v>67</v>
      </c>
      <c r="F38" s="87">
        <v>18</v>
      </c>
      <c r="G38" s="34" t="s">
        <v>1468</v>
      </c>
      <c r="H38" s="222">
        <v>2.3622685185185184E-2</v>
      </c>
      <c r="I38" s="203">
        <v>1.4930555555555556E-3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2.75">
      <c r="A39" s="20" t="s">
        <v>1478</v>
      </c>
      <c r="B39" s="29">
        <v>58</v>
      </c>
      <c r="C39" s="90">
        <v>23</v>
      </c>
      <c r="D39" s="90">
        <v>25</v>
      </c>
      <c r="E39" s="21" t="s">
        <v>1145</v>
      </c>
      <c r="F39" s="21" t="s">
        <v>1145</v>
      </c>
      <c r="G39" s="29" t="s">
        <v>1536</v>
      </c>
      <c r="H39" s="114">
        <v>3.6655092592592593E-2</v>
      </c>
      <c r="I39" s="113">
        <v>2.8240740740740739E-3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2.75">
      <c r="A40" s="20" t="s">
        <v>1537</v>
      </c>
      <c r="B40" s="90">
        <v>21</v>
      </c>
      <c r="C40" s="90">
        <v>20</v>
      </c>
      <c r="D40" s="90">
        <v>21</v>
      </c>
      <c r="E40" s="21" t="s">
        <v>1145</v>
      </c>
      <c r="F40" s="21" t="s">
        <v>1145</v>
      </c>
      <c r="G40" s="24" t="s">
        <v>1532</v>
      </c>
      <c r="H40" s="222">
        <v>3.0277777777777778E-2</v>
      </c>
      <c r="I40" s="203">
        <v>1.3078703703703703E-3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2.75">
      <c r="A41" s="20" t="s">
        <v>1300</v>
      </c>
      <c r="B41" s="29">
        <v>58</v>
      </c>
      <c r="C41" s="29">
        <v>43</v>
      </c>
      <c r="D41" s="90">
        <v>22</v>
      </c>
      <c r="E41" s="33">
        <v>106</v>
      </c>
      <c r="F41" s="87">
        <v>27</v>
      </c>
      <c r="G41" s="29" t="s">
        <v>1538</v>
      </c>
      <c r="H41" s="114">
        <v>2.9386574074074075E-2</v>
      </c>
      <c r="I41" s="109">
        <v>1.4004629629629629E-3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2.75">
      <c r="A42" s="20" t="s">
        <v>512</v>
      </c>
      <c r="B42" s="90">
        <v>29</v>
      </c>
      <c r="C42" s="90">
        <v>13</v>
      </c>
      <c r="D42" s="90">
        <v>26</v>
      </c>
      <c r="E42" s="32">
        <v>0</v>
      </c>
      <c r="F42" s="26">
        <v>0</v>
      </c>
      <c r="G42" s="24" t="s">
        <v>1493</v>
      </c>
      <c r="H42" s="222">
        <v>1.6666666666666666E-2</v>
      </c>
      <c r="I42" s="223">
        <v>1.712962962962963E-3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2.75">
      <c r="A43" s="20" t="s">
        <v>515</v>
      </c>
      <c r="B43" s="29">
        <v>0</v>
      </c>
      <c r="C43" s="29">
        <v>0</v>
      </c>
      <c r="D43" s="29">
        <v>0</v>
      </c>
      <c r="E43" s="33">
        <v>0</v>
      </c>
      <c r="F43" s="21">
        <v>0</v>
      </c>
      <c r="G43" s="29">
        <v>4</v>
      </c>
      <c r="H43" s="182">
        <v>6.5601851851851856E-2</v>
      </c>
      <c r="I43" s="182">
        <v>1.5543981481481482E-2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2.75">
      <c r="A44" s="20" t="s">
        <v>1482</v>
      </c>
      <c r="B44" s="24">
        <v>75</v>
      </c>
      <c r="C44" s="24">
        <v>74</v>
      </c>
      <c r="D44" s="90">
        <v>22</v>
      </c>
      <c r="E44" s="21" t="s">
        <v>1145</v>
      </c>
      <c r="F44" s="21" t="s">
        <v>1145</v>
      </c>
      <c r="G44" s="24" t="s">
        <v>1486</v>
      </c>
      <c r="H44" s="222">
        <v>2.8668981481481483E-2</v>
      </c>
      <c r="I44" s="222">
        <v>2.4537037037037036E-3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2.75">
      <c r="A45" s="20" t="s">
        <v>814</v>
      </c>
      <c r="B45" s="29">
        <v>86</v>
      </c>
      <c r="C45" s="29">
        <v>50</v>
      </c>
      <c r="D45" s="29">
        <v>17</v>
      </c>
      <c r="E45" s="169">
        <v>18</v>
      </c>
      <c r="F45" s="152" t="s">
        <v>1539</v>
      </c>
      <c r="G45" s="29" t="s">
        <v>1493</v>
      </c>
      <c r="H45" s="182">
        <v>4.7986111111111111E-2</v>
      </c>
      <c r="I45" s="182">
        <v>4.7222222222222223E-3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2.75">
      <c r="A46" s="20" t="s">
        <v>1540</v>
      </c>
      <c r="B46" s="90">
        <v>9</v>
      </c>
      <c r="C46" s="90">
        <v>14</v>
      </c>
      <c r="D46" s="24">
        <v>6</v>
      </c>
      <c r="E46" s="21" t="s">
        <v>1145</v>
      </c>
      <c r="F46" s="21" t="s">
        <v>1145</v>
      </c>
      <c r="G46" s="24" t="s">
        <v>1288</v>
      </c>
      <c r="H46" s="222">
        <v>3.033564814814815E-2</v>
      </c>
      <c r="I46" s="182">
        <v>2.1759259259259258E-3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2.75">
      <c r="A47" s="20" t="s">
        <v>1541</v>
      </c>
      <c r="B47" s="90">
        <v>26</v>
      </c>
      <c r="C47" s="29">
        <v>42</v>
      </c>
      <c r="D47" s="29">
        <v>14</v>
      </c>
      <c r="E47" s="169">
        <v>10</v>
      </c>
      <c r="F47" s="152" t="s">
        <v>1441</v>
      </c>
      <c r="G47" s="29" t="s">
        <v>1542</v>
      </c>
      <c r="H47" s="114">
        <v>3.8368055555555558E-2</v>
      </c>
      <c r="I47" s="182">
        <v>3.5879629629629629E-3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2.75">
      <c r="A48" s="20" t="s">
        <v>1216</v>
      </c>
      <c r="B48" s="90">
        <v>32</v>
      </c>
      <c r="C48" s="24">
        <v>54</v>
      </c>
      <c r="D48" s="90">
        <v>23</v>
      </c>
      <c r="E48" s="169">
        <v>18</v>
      </c>
      <c r="F48" s="26">
        <v>7</v>
      </c>
      <c r="G48" s="204" t="s">
        <v>1486</v>
      </c>
      <c r="H48" s="203">
        <v>2.4814814814814814E-2</v>
      </c>
      <c r="I48" s="203">
        <v>1.2037037037037038E-3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2.75">
      <c r="A49" s="20" t="s">
        <v>1543</v>
      </c>
      <c r="B49" s="90">
        <v>16</v>
      </c>
      <c r="C49" s="90">
        <v>32</v>
      </c>
      <c r="D49" s="206">
        <v>16</v>
      </c>
      <c r="E49" s="168">
        <v>0</v>
      </c>
      <c r="F49" s="207">
        <v>0</v>
      </c>
      <c r="G49" s="206" t="s">
        <v>488</v>
      </c>
      <c r="H49" s="182">
        <v>4.6157407407407404E-2</v>
      </c>
      <c r="I49" s="113">
        <v>3.0092592592592593E-3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3.5" customHeight="1">
      <c r="A50" s="20" t="s">
        <v>27</v>
      </c>
      <c r="B50" s="155" t="s">
        <v>1544</v>
      </c>
      <c r="C50" s="205" t="s">
        <v>1423</v>
      </c>
      <c r="D50" s="155" t="s">
        <v>1217</v>
      </c>
      <c r="E50" s="169">
        <v>1</v>
      </c>
      <c r="F50" s="207">
        <v>0</v>
      </c>
      <c r="G50" s="206" t="s">
        <v>1545</v>
      </c>
      <c r="H50" s="224">
        <v>3.7997685185185183E-2</v>
      </c>
      <c r="I50" s="113">
        <v>2.5925925925925925E-3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2.75">
      <c r="A51" s="20" t="s">
        <v>38</v>
      </c>
      <c r="B51" s="206">
        <v>58</v>
      </c>
      <c r="C51" s="206">
        <v>40</v>
      </c>
      <c r="D51" s="90">
        <v>32</v>
      </c>
      <c r="E51" s="168">
        <v>76</v>
      </c>
      <c r="F51" s="87">
        <v>31</v>
      </c>
      <c r="G51" s="225" t="s">
        <v>1546</v>
      </c>
      <c r="H51" s="208">
        <v>3.0821759259259261E-2</v>
      </c>
      <c r="I51" s="113">
        <v>2.5347222222222221E-3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2.75">
      <c r="A52" s="20" t="s">
        <v>522</v>
      </c>
      <c r="B52" s="206">
        <v>116</v>
      </c>
      <c r="C52" s="206">
        <v>43</v>
      </c>
      <c r="D52" s="90">
        <v>23</v>
      </c>
      <c r="E52" s="169">
        <v>37</v>
      </c>
      <c r="F52" s="207">
        <v>11</v>
      </c>
      <c r="G52" s="206" t="s">
        <v>1254</v>
      </c>
      <c r="H52" s="182">
        <v>5.4502314814814816E-2</v>
      </c>
      <c r="I52" s="113">
        <v>4.1203703703703706E-3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2.75">
      <c r="A53" s="20" t="s">
        <v>42</v>
      </c>
      <c r="B53" s="205" t="s">
        <v>1152</v>
      </c>
      <c r="C53" s="205" t="s">
        <v>1547</v>
      </c>
      <c r="D53" s="155" t="s">
        <v>1240</v>
      </c>
      <c r="E53" s="168">
        <v>119</v>
      </c>
      <c r="F53" s="87">
        <v>56</v>
      </c>
      <c r="G53" s="205" t="s">
        <v>1302</v>
      </c>
      <c r="H53" s="224">
        <v>3.7766203703703705E-2</v>
      </c>
      <c r="I53" s="208">
        <v>1.9328703703703704E-3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2.75">
      <c r="A54" s="20" t="s">
        <v>1496</v>
      </c>
      <c r="B54" s="207">
        <v>50</v>
      </c>
      <c r="C54" s="207">
        <v>59</v>
      </c>
      <c r="D54" s="207">
        <v>18</v>
      </c>
      <c r="E54" s="21" t="s">
        <v>1145</v>
      </c>
      <c r="F54" s="21" t="s">
        <v>1145</v>
      </c>
      <c r="G54" s="207" t="s">
        <v>1542</v>
      </c>
      <c r="H54" s="208">
        <v>3.9143518518518522E-2</v>
      </c>
      <c r="I54" s="113">
        <v>2.1064814814814813E-3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">
      <c r="A55" s="156" t="s">
        <v>15</v>
      </c>
      <c r="B55" s="210">
        <v>962</v>
      </c>
      <c r="C55" s="210">
        <v>847</v>
      </c>
      <c r="D55" s="171">
        <v>498</v>
      </c>
      <c r="E55" s="226">
        <v>937</v>
      </c>
      <c r="F55" s="171">
        <v>310</v>
      </c>
      <c r="G55" s="158" t="s">
        <v>1510</v>
      </c>
      <c r="H55" s="180">
        <v>3.6759259259259262E-2</v>
      </c>
      <c r="I55" s="160">
        <v>2.9629629629629628E-3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">
      <c r="A56" s="156" t="s">
        <v>1174</v>
      </c>
      <c r="B56" s="177" t="s">
        <v>1548</v>
      </c>
      <c r="C56" s="177" t="s">
        <v>1503</v>
      </c>
      <c r="D56" s="165">
        <v>500</v>
      </c>
      <c r="E56" s="164">
        <v>1000</v>
      </c>
      <c r="F56" s="165">
        <v>400</v>
      </c>
      <c r="G56" s="166">
        <v>45781</v>
      </c>
      <c r="H56" s="167">
        <v>4.1666666666666664E-2</v>
      </c>
      <c r="I56" s="167">
        <v>2.0717592592592593E-3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">
      <c r="A57" s="156" t="s">
        <v>1177</v>
      </c>
      <c r="B57" s="164">
        <v>38</v>
      </c>
      <c r="C57" s="165">
        <v>38</v>
      </c>
      <c r="D57" s="165">
        <v>20</v>
      </c>
      <c r="E57" s="164">
        <v>38</v>
      </c>
      <c r="F57" s="165">
        <v>15</v>
      </c>
      <c r="G57" s="165" t="s">
        <v>1203</v>
      </c>
      <c r="H57" s="167">
        <v>4.1655092592592591E-2</v>
      </c>
      <c r="I57" s="167">
        <v>1.6203703703703703E-3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">
      <c r="A58" s="199"/>
      <c r="B58" s="200"/>
      <c r="C58" s="139"/>
      <c r="D58" s="139"/>
      <c r="E58" s="200"/>
      <c r="F58" s="139"/>
      <c r="G58" s="139"/>
      <c r="H58" s="201"/>
      <c r="I58" s="20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">
      <c r="A59" s="199"/>
      <c r="B59" s="200"/>
      <c r="C59" s="139"/>
      <c r="D59" s="139"/>
      <c r="E59" s="200"/>
      <c r="F59" s="139"/>
      <c r="G59" s="139"/>
      <c r="H59" s="201"/>
      <c r="I59" s="20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">
      <c r="A60" s="199"/>
      <c r="B60" s="200"/>
      <c r="C60" s="139"/>
      <c r="D60" s="139"/>
      <c r="E60" s="200"/>
      <c r="F60" s="139"/>
      <c r="G60" s="139"/>
      <c r="H60" s="201"/>
      <c r="I60" s="20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">
      <c r="A61" s="199"/>
      <c r="B61" s="200"/>
      <c r="C61" s="139"/>
      <c r="D61" s="139"/>
      <c r="E61" s="200"/>
      <c r="F61" s="139"/>
      <c r="G61" s="139"/>
      <c r="H61" s="201"/>
      <c r="I61" s="20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">
      <c r="A62" s="199"/>
      <c r="B62" s="200"/>
      <c r="C62" s="139"/>
      <c r="D62" s="139"/>
      <c r="E62" s="200"/>
      <c r="F62" s="139"/>
      <c r="G62" s="139"/>
      <c r="H62" s="201"/>
      <c r="I62" s="20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26.25">
      <c r="A63" s="4" t="s">
        <v>1667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>
      <c r="A64" s="16" t="s">
        <v>77</v>
      </c>
      <c r="B64" s="101" t="s">
        <v>1138</v>
      </c>
      <c r="C64" s="101" t="s">
        <v>1139</v>
      </c>
      <c r="D64" s="81" t="s">
        <v>32</v>
      </c>
      <c r="E64" s="81" t="s">
        <v>33</v>
      </c>
      <c r="F64" s="81" t="s">
        <v>34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2.75">
      <c r="A65" s="31" t="s">
        <v>28</v>
      </c>
      <c r="B65" s="227" t="s">
        <v>1549</v>
      </c>
      <c r="C65" s="227" t="s">
        <v>1549</v>
      </c>
      <c r="D65" s="227" t="s">
        <v>1457</v>
      </c>
      <c r="E65" s="227" t="s">
        <v>1337</v>
      </c>
      <c r="F65" s="227" t="s">
        <v>1550</v>
      </c>
      <c r="G65" s="1"/>
      <c r="H65" s="1"/>
      <c r="I65" s="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2.75">
      <c r="A66" s="20" t="s">
        <v>22</v>
      </c>
      <c r="B66" s="227" t="s">
        <v>1315</v>
      </c>
      <c r="C66" s="115" t="s">
        <v>1549</v>
      </c>
      <c r="D66" s="152" t="s">
        <v>1551</v>
      </c>
      <c r="E66" s="152" t="s">
        <v>1314</v>
      </c>
      <c r="F66" s="152" t="s">
        <v>1552</v>
      </c>
      <c r="G66" s="1"/>
      <c r="H66" s="1"/>
      <c r="I66" s="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2.75">
      <c r="A67" s="20" t="s">
        <v>25</v>
      </c>
      <c r="B67" s="152" t="s">
        <v>1549</v>
      </c>
      <c r="C67" s="152" t="s">
        <v>1549</v>
      </c>
      <c r="D67" s="152" t="s">
        <v>1549</v>
      </c>
      <c r="E67" s="152" t="s">
        <v>1549</v>
      </c>
      <c r="F67" s="152" t="s">
        <v>1549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2.75">
      <c r="A68" s="20" t="s">
        <v>18</v>
      </c>
      <c r="B68" s="204" t="s">
        <v>1549</v>
      </c>
      <c r="C68" s="204" t="s">
        <v>1549</v>
      </c>
      <c r="D68" s="204" t="s">
        <v>1549</v>
      </c>
      <c r="E68" s="204" t="s">
        <v>1549</v>
      </c>
      <c r="F68" s="204" t="s">
        <v>1549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2.75">
      <c r="A69" s="20" t="s">
        <v>12</v>
      </c>
      <c r="B69" s="152" t="s">
        <v>1549</v>
      </c>
      <c r="C69" s="152" t="s">
        <v>1549</v>
      </c>
      <c r="D69" s="152" t="s">
        <v>1441</v>
      </c>
      <c r="E69" s="127" t="s">
        <v>1553</v>
      </c>
      <c r="F69" s="152" t="s">
        <v>1494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2.75">
      <c r="A70" s="20" t="s">
        <v>209</v>
      </c>
      <c r="B70" s="204" t="s">
        <v>1309</v>
      </c>
      <c r="C70" s="115" t="s">
        <v>1549</v>
      </c>
      <c r="D70" s="115" t="s">
        <v>1170</v>
      </c>
      <c r="E70" s="127" t="s">
        <v>1309</v>
      </c>
      <c r="F70" s="152" t="s">
        <v>1238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2.75">
      <c r="A71" s="20" t="s">
        <v>519</v>
      </c>
      <c r="B71" s="115" t="s">
        <v>1549</v>
      </c>
      <c r="C71" s="152" t="s">
        <v>1549</v>
      </c>
      <c r="D71" s="115" t="s">
        <v>1549</v>
      </c>
      <c r="E71" s="127" t="s">
        <v>1223</v>
      </c>
      <c r="F71" s="152" t="s">
        <v>1549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>
      <c r="A72" s="16" t="s">
        <v>80</v>
      </c>
      <c r="B72" s="17" t="s">
        <v>1140</v>
      </c>
      <c r="C72" s="17" t="s">
        <v>1141</v>
      </c>
      <c r="D72" s="101" t="s">
        <v>32</v>
      </c>
      <c r="E72" s="240" t="s">
        <v>1143</v>
      </c>
      <c r="F72" s="241"/>
      <c r="G72" s="17" t="s">
        <v>31</v>
      </c>
      <c r="H72" s="18" t="s">
        <v>1144</v>
      </c>
      <c r="I72" s="81" t="s">
        <v>35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2.75">
      <c r="A73" s="202" t="s">
        <v>1466</v>
      </c>
      <c r="B73" s="21">
        <v>45</v>
      </c>
      <c r="C73" s="87">
        <v>25</v>
      </c>
      <c r="D73" s="21">
        <v>16</v>
      </c>
      <c r="E73" s="21" t="s">
        <v>1145</v>
      </c>
      <c r="F73" s="21" t="s">
        <v>1145</v>
      </c>
      <c r="G73" s="21" t="s">
        <v>1554</v>
      </c>
      <c r="H73" s="114">
        <v>3.847222222222222E-2</v>
      </c>
      <c r="I73" s="113">
        <v>2.9745370370370373E-3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2.75">
      <c r="A74" s="20" t="s">
        <v>21</v>
      </c>
      <c r="B74" s="24">
        <v>60</v>
      </c>
      <c r="C74" s="24">
        <v>52</v>
      </c>
      <c r="D74" s="90">
        <v>26</v>
      </c>
      <c r="E74" s="32">
        <v>105</v>
      </c>
      <c r="F74" s="90">
        <v>41</v>
      </c>
      <c r="G74" s="24" t="s">
        <v>1097</v>
      </c>
      <c r="H74" s="182">
        <v>5.7766203703703702E-2</v>
      </c>
      <c r="I74" s="182">
        <v>4.5833333333333334E-3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2.75">
      <c r="A75" s="20" t="s">
        <v>1287</v>
      </c>
      <c r="B75" s="90">
        <v>13</v>
      </c>
      <c r="C75" s="90">
        <v>14</v>
      </c>
      <c r="D75" s="21">
        <v>0</v>
      </c>
      <c r="E75" s="33">
        <v>63</v>
      </c>
      <c r="F75" s="87">
        <v>18</v>
      </c>
      <c r="G75" s="29" t="s">
        <v>1555</v>
      </c>
      <c r="H75" s="114">
        <v>2.2569444444444444E-2</v>
      </c>
      <c r="I75" s="109">
        <v>1.5509259259259259E-3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2.75">
      <c r="A76" s="20" t="s">
        <v>41</v>
      </c>
      <c r="B76" s="24">
        <v>50</v>
      </c>
      <c r="C76" s="24">
        <v>43</v>
      </c>
      <c r="D76" s="87">
        <v>26</v>
      </c>
      <c r="E76" s="32">
        <v>69</v>
      </c>
      <c r="F76" s="87">
        <v>19</v>
      </c>
      <c r="G76" s="24" t="s">
        <v>1302</v>
      </c>
      <c r="H76" s="182">
        <v>6.537037037037037E-2</v>
      </c>
      <c r="I76" s="182">
        <v>1.8865740740740742E-3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2.75">
      <c r="A77" s="20" t="s">
        <v>135</v>
      </c>
      <c r="B77" s="29">
        <v>46</v>
      </c>
      <c r="C77" s="90">
        <v>27</v>
      </c>
      <c r="D77" s="87">
        <v>28</v>
      </c>
      <c r="E77" s="33">
        <v>55</v>
      </c>
      <c r="F77" s="150" t="s">
        <v>1236</v>
      </c>
      <c r="G77" s="115" t="s">
        <v>1556</v>
      </c>
      <c r="H77" s="182">
        <v>7.5497685185185182E-2</v>
      </c>
      <c r="I77" s="113">
        <v>7.8009259259259256E-3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2.75">
      <c r="A78" s="20" t="s">
        <v>796</v>
      </c>
      <c r="B78" s="34">
        <v>60</v>
      </c>
      <c r="C78" s="151">
        <v>33</v>
      </c>
      <c r="D78" s="87">
        <v>33</v>
      </c>
      <c r="E78" s="32">
        <v>55</v>
      </c>
      <c r="F78" s="87">
        <v>16</v>
      </c>
      <c r="G78" s="24" t="s">
        <v>1288</v>
      </c>
      <c r="H78" s="222">
        <v>0.02</v>
      </c>
      <c r="I78" s="203">
        <v>1.3425925925925925E-3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2.75">
      <c r="A79" s="20" t="s">
        <v>86</v>
      </c>
      <c r="B79" s="151">
        <v>24</v>
      </c>
      <c r="C79" s="151">
        <v>5</v>
      </c>
      <c r="D79" s="29">
        <v>20</v>
      </c>
      <c r="E79" s="33">
        <v>57</v>
      </c>
      <c r="F79" s="21">
        <v>12</v>
      </c>
      <c r="G79" s="115" t="s">
        <v>1532</v>
      </c>
      <c r="H79" s="182">
        <v>4.5914351851851852E-2</v>
      </c>
      <c r="I79" s="113">
        <v>3.2407407407407406E-3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2.75">
      <c r="A80" s="20" t="s">
        <v>1475</v>
      </c>
      <c r="B80" s="90">
        <v>36</v>
      </c>
      <c r="C80" s="90">
        <v>27</v>
      </c>
      <c r="D80" s="24">
        <v>16</v>
      </c>
      <c r="E80" s="21" t="s">
        <v>1145</v>
      </c>
      <c r="F80" s="21" t="s">
        <v>1145</v>
      </c>
      <c r="G80" s="24" t="s">
        <v>1557</v>
      </c>
      <c r="H80" s="222">
        <v>3.1331018518518522E-2</v>
      </c>
      <c r="I80" s="203">
        <v>1.4236111111111112E-3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2.75">
      <c r="A81" s="20" t="s">
        <v>39</v>
      </c>
      <c r="B81" s="90">
        <v>37</v>
      </c>
      <c r="C81" s="90">
        <v>24</v>
      </c>
      <c r="D81" s="90">
        <v>29</v>
      </c>
      <c r="E81" s="33">
        <v>60</v>
      </c>
      <c r="F81" s="21">
        <v>14</v>
      </c>
      <c r="G81" s="103" t="s">
        <v>1476</v>
      </c>
      <c r="H81" s="114">
        <v>2.6111111111111113E-2</v>
      </c>
      <c r="I81" s="109">
        <v>1.4814814814814814E-3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2.75">
      <c r="A82" s="20" t="s">
        <v>1478</v>
      </c>
      <c r="B82" s="24">
        <v>62</v>
      </c>
      <c r="C82" s="24">
        <v>53</v>
      </c>
      <c r="D82" s="90">
        <v>24</v>
      </c>
      <c r="E82" s="21" t="s">
        <v>1145</v>
      </c>
      <c r="F82" s="21" t="s">
        <v>1145</v>
      </c>
      <c r="G82" s="24" t="s">
        <v>1538</v>
      </c>
      <c r="H82" s="222">
        <v>1.7384259259259259E-2</v>
      </c>
      <c r="I82" s="203">
        <v>4.9768518518518521E-4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2.75">
      <c r="A83" s="20" t="s">
        <v>1537</v>
      </c>
      <c r="B83" s="29">
        <v>39</v>
      </c>
      <c r="C83" s="29">
        <v>40</v>
      </c>
      <c r="D83" s="90">
        <v>26</v>
      </c>
      <c r="E83" s="21" t="s">
        <v>1145</v>
      </c>
      <c r="F83" s="21" t="s">
        <v>1145</v>
      </c>
      <c r="G83" s="29" t="s">
        <v>1495</v>
      </c>
      <c r="H83" s="114">
        <v>3.1597222222222221E-2</v>
      </c>
      <c r="I83" s="109">
        <v>1.3657407407407407E-3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2.75">
      <c r="A84" s="20" t="s">
        <v>1300</v>
      </c>
      <c r="B84" s="24">
        <v>80</v>
      </c>
      <c r="C84" s="24">
        <v>45</v>
      </c>
      <c r="D84" s="90">
        <v>33</v>
      </c>
      <c r="E84" s="32">
        <v>134</v>
      </c>
      <c r="F84" s="87">
        <v>51</v>
      </c>
      <c r="G84" s="24" t="s">
        <v>1477</v>
      </c>
      <c r="H84" s="222">
        <v>3.0902777777777779E-2</v>
      </c>
      <c r="I84" s="203">
        <v>1.261574074074074E-3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2.75">
      <c r="A85" s="20" t="s">
        <v>512</v>
      </c>
      <c r="B85" s="90">
        <v>18</v>
      </c>
      <c r="C85" s="90">
        <v>21</v>
      </c>
      <c r="D85" s="29">
        <v>14</v>
      </c>
      <c r="E85" s="169">
        <v>2</v>
      </c>
      <c r="F85" s="21">
        <v>0</v>
      </c>
      <c r="G85" s="29" t="s">
        <v>1477</v>
      </c>
      <c r="H85" s="114">
        <v>1.3703703703703704E-2</v>
      </c>
      <c r="I85" s="228">
        <v>1.1342592592592593E-3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2.75">
      <c r="A86" s="20" t="s">
        <v>515</v>
      </c>
      <c r="B86" s="90">
        <v>1</v>
      </c>
      <c r="C86" s="90">
        <v>1</v>
      </c>
      <c r="D86" s="24">
        <v>1</v>
      </c>
      <c r="E86" s="32">
        <v>0</v>
      </c>
      <c r="F86" s="26">
        <v>0</v>
      </c>
      <c r="G86" s="24" t="s">
        <v>1558</v>
      </c>
      <c r="H86" s="222">
        <v>1.1458333333333333E-3</v>
      </c>
      <c r="I86" s="182">
        <v>1.8402777777777777E-3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2.75">
      <c r="A87" s="20" t="s">
        <v>1482</v>
      </c>
      <c r="B87" s="29">
        <v>107</v>
      </c>
      <c r="C87" s="29">
        <v>65</v>
      </c>
      <c r="D87" s="90">
        <v>27</v>
      </c>
      <c r="E87" s="21" t="s">
        <v>1145</v>
      </c>
      <c r="F87" s="21" t="s">
        <v>1145</v>
      </c>
      <c r="G87" s="29" t="s">
        <v>1298</v>
      </c>
      <c r="H87" s="114">
        <v>2.7199074074074073E-2</v>
      </c>
      <c r="I87" s="114">
        <v>1.1226851851851851E-3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2.75">
      <c r="A88" s="20" t="s">
        <v>814</v>
      </c>
      <c r="B88" s="24">
        <v>69</v>
      </c>
      <c r="C88" s="24">
        <v>103</v>
      </c>
      <c r="D88" s="24">
        <v>15</v>
      </c>
      <c r="E88" s="32">
        <v>66</v>
      </c>
      <c r="F88" s="154" t="s">
        <v>1559</v>
      </c>
      <c r="G88" s="24" t="s">
        <v>1533</v>
      </c>
      <c r="H88" s="182">
        <v>4.5752314814814815E-2</v>
      </c>
      <c r="I88" s="182">
        <v>3.4027777777777776E-3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2.75">
      <c r="A89" s="20" t="s">
        <v>1540</v>
      </c>
      <c r="B89" s="29">
        <v>55</v>
      </c>
      <c r="C89" s="90">
        <v>25</v>
      </c>
      <c r="D89" s="29">
        <v>7</v>
      </c>
      <c r="E89" s="21" t="s">
        <v>1145</v>
      </c>
      <c r="F89" s="21" t="s">
        <v>1145</v>
      </c>
      <c r="G89" s="29" t="s">
        <v>1546</v>
      </c>
      <c r="H89" s="114">
        <v>3.9467592592592596E-2</v>
      </c>
      <c r="I89" s="182">
        <v>3.1018518518518517E-3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2.75">
      <c r="A90" s="20" t="s">
        <v>1560</v>
      </c>
      <c r="B90" s="24">
        <v>64</v>
      </c>
      <c r="C90" s="24">
        <v>40</v>
      </c>
      <c r="D90" s="90">
        <v>40</v>
      </c>
      <c r="E90" s="32">
        <v>76</v>
      </c>
      <c r="F90" s="154" t="s">
        <v>1217</v>
      </c>
      <c r="G90" s="24" t="s">
        <v>1489</v>
      </c>
      <c r="H90" s="222">
        <v>3.888888888888889E-2</v>
      </c>
      <c r="I90" s="182">
        <v>4.386574074074074E-3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2.75">
      <c r="A91" s="20" t="s">
        <v>1216</v>
      </c>
      <c r="B91" s="29">
        <v>74</v>
      </c>
      <c r="C91" s="29">
        <v>117</v>
      </c>
      <c r="D91" s="90">
        <v>24</v>
      </c>
      <c r="E91" s="169">
        <v>18</v>
      </c>
      <c r="F91" s="21">
        <v>7</v>
      </c>
      <c r="G91" s="152" t="s">
        <v>1561</v>
      </c>
      <c r="H91" s="109">
        <v>3.0173611111111109E-2</v>
      </c>
      <c r="I91" s="113">
        <v>1.6666666666666668E-3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2.75">
      <c r="A92" s="20" t="s">
        <v>1562</v>
      </c>
      <c r="B92" s="90">
        <v>10</v>
      </c>
      <c r="C92" s="90">
        <v>11</v>
      </c>
      <c r="D92" s="206">
        <v>10</v>
      </c>
      <c r="E92" s="169">
        <v>15</v>
      </c>
      <c r="F92" s="207">
        <v>3</v>
      </c>
      <c r="G92" s="206" t="s">
        <v>1476</v>
      </c>
      <c r="H92" s="224">
        <v>2.6354166666666668E-2</v>
      </c>
      <c r="I92" s="208">
        <v>1.1226851851851851E-3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2.75">
      <c r="A93" s="20" t="s">
        <v>27</v>
      </c>
      <c r="B93" s="155" t="s">
        <v>1563</v>
      </c>
      <c r="C93" s="155" t="s">
        <v>1559</v>
      </c>
      <c r="D93" s="155" t="s">
        <v>1564</v>
      </c>
      <c r="E93" s="169">
        <v>6</v>
      </c>
      <c r="F93" s="207">
        <v>2</v>
      </c>
      <c r="G93" s="206" t="s">
        <v>1310</v>
      </c>
      <c r="H93" s="182">
        <v>4.4618055555555557E-2</v>
      </c>
      <c r="I93" s="113">
        <v>2.8240740740740739E-3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2.75">
      <c r="A94" s="20" t="s">
        <v>38</v>
      </c>
      <c r="B94" s="206">
        <v>45</v>
      </c>
      <c r="C94" s="206">
        <v>60</v>
      </c>
      <c r="D94" s="206">
        <v>16</v>
      </c>
      <c r="E94" s="168">
        <v>59</v>
      </c>
      <c r="F94" s="87">
        <v>17</v>
      </c>
      <c r="G94" s="225" t="s">
        <v>1480</v>
      </c>
      <c r="H94" s="113">
        <v>4.3171296296296298E-2</v>
      </c>
      <c r="I94" s="113">
        <v>4.4212962962962964E-3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2.75">
      <c r="A95" s="20" t="s">
        <v>522</v>
      </c>
      <c r="B95" s="206">
        <v>118</v>
      </c>
      <c r="C95" s="206">
        <v>54</v>
      </c>
      <c r="D95" s="90">
        <v>27</v>
      </c>
      <c r="E95" s="168">
        <v>43</v>
      </c>
      <c r="F95" s="207">
        <v>9</v>
      </c>
      <c r="G95" s="206" t="s">
        <v>1288</v>
      </c>
      <c r="H95" s="182">
        <v>5.8807870370370371E-2</v>
      </c>
      <c r="I95" s="113">
        <v>4.6527777777777774E-3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2.75">
      <c r="A96" s="20" t="s">
        <v>42</v>
      </c>
      <c r="B96" s="155" t="s">
        <v>1219</v>
      </c>
      <c r="C96" s="155" t="s">
        <v>1219</v>
      </c>
      <c r="D96" s="205" t="s">
        <v>1565</v>
      </c>
      <c r="E96" s="168">
        <v>133</v>
      </c>
      <c r="F96" s="87">
        <v>41</v>
      </c>
      <c r="G96" s="205" t="s">
        <v>1476</v>
      </c>
      <c r="H96" s="224">
        <v>2.6354166666666668E-2</v>
      </c>
      <c r="I96" s="208">
        <v>1.1226851851851851E-3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2.75">
      <c r="A97" s="20" t="s">
        <v>1496</v>
      </c>
      <c r="B97" s="207">
        <v>74</v>
      </c>
      <c r="C97" s="207">
        <v>57</v>
      </c>
      <c r="D97" s="87">
        <v>28</v>
      </c>
      <c r="E97" s="21" t="s">
        <v>1145</v>
      </c>
      <c r="F97" s="21" t="s">
        <v>1145</v>
      </c>
      <c r="G97" s="207" t="s">
        <v>1566</v>
      </c>
      <c r="H97" s="208">
        <v>3.0173611111111109E-2</v>
      </c>
      <c r="I97" s="208">
        <v>1.6203703703703703E-3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">
      <c r="A98" s="156" t="s">
        <v>15</v>
      </c>
      <c r="B98" s="210">
        <v>1187</v>
      </c>
      <c r="C98" s="171">
        <v>942</v>
      </c>
      <c r="D98" s="171">
        <v>486</v>
      </c>
      <c r="E98" s="171">
        <v>1016</v>
      </c>
      <c r="F98" s="171">
        <v>250</v>
      </c>
      <c r="G98" s="171" t="s">
        <v>1511</v>
      </c>
      <c r="H98" s="180">
        <v>3.5543981481481482E-2</v>
      </c>
      <c r="I98" s="160">
        <v>2.476851851851852E-3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">
      <c r="A99" s="156" t="s">
        <v>1174</v>
      </c>
      <c r="B99" s="177" t="s">
        <v>1548</v>
      </c>
      <c r="C99" s="177" t="s">
        <v>1503</v>
      </c>
      <c r="D99" s="165">
        <v>500</v>
      </c>
      <c r="E99" s="164">
        <v>1000</v>
      </c>
      <c r="F99" s="165">
        <v>400</v>
      </c>
      <c r="G99" s="166">
        <v>45781</v>
      </c>
      <c r="H99" s="167">
        <v>4.1666666666666664E-2</v>
      </c>
      <c r="I99" s="167">
        <v>2.0717592592592593E-3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">
      <c r="A100" s="156" t="s">
        <v>1177</v>
      </c>
      <c r="B100" s="164">
        <v>38</v>
      </c>
      <c r="C100" s="165">
        <v>38</v>
      </c>
      <c r="D100" s="165">
        <v>20</v>
      </c>
      <c r="E100" s="164">
        <v>38</v>
      </c>
      <c r="F100" s="165">
        <v>15</v>
      </c>
      <c r="G100" s="165" t="s">
        <v>1203</v>
      </c>
      <c r="H100" s="167">
        <v>4.1655092592592591E-2</v>
      </c>
      <c r="I100" s="167">
        <v>1.6203703703703703E-3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">
      <c r="A101" s="199"/>
      <c r="B101" s="200"/>
      <c r="C101" s="139"/>
      <c r="D101" s="139"/>
      <c r="E101" s="200"/>
      <c r="F101" s="139"/>
      <c r="G101" s="139"/>
      <c r="H101" s="201"/>
      <c r="I101" s="20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">
      <c r="A102" s="199"/>
      <c r="B102" s="200"/>
      <c r="C102" s="139"/>
      <c r="D102" s="139"/>
      <c r="E102" s="200"/>
      <c r="F102" s="139"/>
      <c r="G102" s="139"/>
      <c r="H102" s="201"/>
      <c r="I102" s="20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26.25">
      <c r="A103" s="4" t="s">
        <v>1668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>
      <c r="A104" s="16" t="s">
        <v>77</v>
      </c>
      <c r="B104" s="101" t="s">
        <v>1138</v>
      </c>
      <c r="C104" s="101" t="s">
        <v>1139</v>
      </c>
      <c r="D104" s="81" t="s">
        <v>32</v>
      </c>
      <c r="E104" s="81" t="s">
        <v>33</v>
      </c>
      <c r="F104" s="81" t="s">
        <v>34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2.75">
      <c r="A105" s="31" t="s">
        <v>28</v>
      </c>
      <c r="B105" s="227" t="s">
        <v>1549</v>
      </c>
      <c r="C105" s="227" t="s">
        <v>1549</v>
      </c>
      <c r="D105" s="227" t="s">
        <v>1219</v>
      </c>
      <c r="E105" s="227" t="s">
        <v>1567</v>
      </c>
      <c r="F105" s="227" t="s">
        <v>1219</v>
      </c>
      <c r="G105" s="1"/>
      <c r="H105" s="1"/>
      <c r="I105" s="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2.75">
      <c r="A106" s="20" t="s">
        <v>22</v>
      </c>
      <c r="B106" s="227" t="s">
        <v>1565</v>
      </c>
      <c r="C106" s="115" t="s">
        <v>1549</v>
      </c>
      <c r="D106" s="152" t="s">
        <v>1565</v>
      </c>
      <c r="E106" s="152" t="s">
        <v>1568</v>
      </c>
      <c r="F106" s="152" t="s">
        <v>1125</v>
      </c>
      <c r="G106" s="1"/>
      <c r="H106" s="1"/>
      <c r="I106" s="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2.75">
      <c r="A107" s="20" t="s">
        <v>25</v>
      </c>
      <c r="B107" s="152" t="s">
        <v>1549</v>
      </c>
      <c r="C107" s="152" t="s">
        <v>1549</v>
      </c>
      <c r="D107" s="152" t="s">
        <v>1549</v>
      </c>
      <c r="E107" s="152" t="s">
        <v>1549</v>
      </c>
      <c r="F107" s="152" t="s">
        <v>1549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2.75">
      <c r="A108" s="20" t="s">
        <v>18</v>
      </c>
      <c r="B108" s="204" t="s">
        <v>1549</v>
      </c>
      <c r="C108" s="204" t="s">
        <v>1549</v>
      </c>
      <c r="D108" s="204" t="s">
        <v>1549</v>
      </c>
      <c r="E108" s="204" t="s">
        <v>1549</v>
      </c>
      <c r="F108" s="204" t="s">
        <v>1549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2.75">
      <c r="A109" s="20" t="s">
        <v>12</v>
      </c>
      <c r="B109" s="152" t="s">
        <v>1549</v>
      </c>
      <c r="C109" s="152" t="s">
        <v>1549</v>
      </c>
      <c r="D109" s="152" t="s">
        <v>1549</v>
      </c>
      <c r="E109" s="127" t="s">
        <v>1150</v>
      </c>
      <c r="F109" s="152" t="s">
        <v>1238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2.75">
      <c r="A110" s="20" t="s">
        <v>209</v>
      </c>
      <c r="B110" s="204" t="s">
        <v>1569</v>
      </c>
      <c r="C110" s="115" t="s">
        <v>1549</v>
      </c>
      <c r="D110" s="115" t="s">
        <v>1236</v>
      </c>
      <c r="E110" s="127" t="s">
        <v>1152</v>
      </c>
      <c r="F110" s="152" t="s">
        <v>1549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2.75">
      <c r="A111" s="20" t="s">
        <v>519</v>
      </c>
      <c r="B111" s="115" t="s">
        <v>1549</v>
      </c>
      <c r="C111" s="152" t="s">
        <v>1549</v>
      </c>
      <c r="D111" s="115" t="s">
        <v>1549</v>
      </c>
      <c r="E111" s="127" t="s">
        <v>1312</v>
      </c>
      <c r="F111" s="152" t="s">
        <v>1549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>
      <c r="A112" s="16" t="s">
        <v>80</v>
      </c>
      <c r="B112" s="17" t="s">
        <v>1140</v>
      </c>
      <c r="C112" s="17" t="s">
        <v>1141</v>
      </c>
      <c r="D112" s="101" t="s">
        <v>32</v>
      </c>
      <c r="E112" s="240" t="s">
        <v>1143</v>
      </c>
      <c r="F112" s="241"/>
      <c r="G112" s="101" t="s">
        <v>31</v>
      </c>
      <c r="H112" s="81" t="s">
        <v>1144</v>
      </c>
      <c r="I112" s="81" t="s">
        <v>35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2.75">
      <c r="A113" s="202" t="s">
        <v>1466</v>
      </c>
      <c r="B113" s="87">
        <v>18</v>
      </c>
      <c r="C113" s="87">
        <v>11</v>
      </c>
      <c r="D113" s="21">
        <v>10</v>
      </c>
      <c r="E113" s="21">
        <v>50</v>
      </c>
      <c r="F113" s="87">
        <v>20</v>
      </c>
      <c r="G113" s="21" t="s">
        <v>1469</v>
      </c>
      <c r="H113" s="182">
        <v>4.4166666666666667E-2</v>
      </c>
      <c r="I113" s="109">
        <v>1.5509259259259259E-3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2.75">
      <c r="A114" s="20" t="s">
        <v>21</v>
      </c>
      <c r="B114" s="24">
        <v>49</v>
      </c>
      <c r="C114" s="90">
        <v>33</v>
      </c>
      <c r="D114" s="90">
        <v>22</v>
      </c>
      <c r="E114" s="32">
        <v>116</v>
      </c>
      <c r="F114" s="90">
        <v>62</v>
      </c>
      <c r="G114" s="24" t="s">
        <v>1476</v>
      </c>
      <c r="H114" s="222">
        <v>3.8912037037037037E-2</v>
      </c>
      <c r="I114" s="182">
        <v>2.2453703703703702E-3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2.75">
      <c r="A115" s="20" t="s">
        <v>1287</v>
      </c>
      <c r="B115" s="90">
        <v>3</v>
      </c>
      <c r="C115" s="90">
        <v>1</v>
      </c>
      <c r="D115" s="21">
        <v>1</v>
      </c>
      <c r="E115" s="33">
        <v>50</v>
      </c>
      <c r="F115" s="87">
        <v>21</v>
      </c>
      <c r="G115" s="29">
        <v>5</v>
      </c>
      <c r="H115" s="114">
        <v>1.9745370370370371E-2</v>
      </c>
      <c r="I115" s="109">
        <v>5.4398148148148144E-4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2.75">
      <c r="A116" s="20" t="s">
        <v>41</v>
      </c>
      <c r="B116" s="24">
        <v>53</v>
      </c>
      <c r="C116" s="24">
        <v>53</v>
      </c>
      <c r="D116" s="87">
        <v>25</v>
      </c>
      <c r="E116" s="32">
        <v>53</v>
      </c>
      <c r="F116" s="87">
        <v>24</v>
      </c>
      <c r="G116" s="24" t="s">
        <v>1570</v>
      </c>
      <c r="H116" s="182">
        <v>5.1249999999999997E-2</v>
      </c>
      <c r="I116" s="222">
        <v>1.25E-3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2.75">
      <c r="A117" s="20" t="s">
        <v>135</v>
      </c>
      <c r="B117" s="90">
        <v>30</v>
      </c>
      <c r="C117" s="90">
        <v>21</v>
      </c>
      <c r="D117" s="21">
        <v>16</v>
      </c>
      <c r="E117" s="33">
        <v>55</v>
      </c>
      <c r="F117" s="150" t="s">
        <v>1552</v>
      </c>
      <c r="G117" s="115" t="s">
        <v>1565</v>
      </c>
      <c r="H117" s="155" t="s">
        <v>1571</v>
      </c>
      <c r="I117" s="113">
        <v>5.8217592592592592E-3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2.75">
      <c r="A118" s="20" t="s">
        <v>796</v>
      </c>
      <c r="B118" s="34">
        <v>66</v>
      </c>
      <c r="C118" s="151">
        <v>36</v>
      </c>
      <c r="D118" s="87">
        <v>33</v>
      </c>
      <c r="E118" s="32">
        <v>70</v>
      </c>
      <c r="F118" s="26">
        <v>9</v>
      </c>
      <c r="G118" s="24" t="s">
        <v>1511</v>
      </c>
      <c r="H118" s="222">
        <v>3.3958333333333333E-2</v>
      </c>
      <c r="I118" s="113">
        <v>1.9097222222222222E-3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2.75">
      <c r="A119" s="20" t="s">
        <v>86</v>
      </c>
      <c r="B119" s="151">
        <v>19</v>
      </c>
      <c r="C119" s="151">
        <v>2</v>
      </c>
      <c r="D119" s="90">
        <v>22</v>
      </c>
      <c r="E119" s="33">
        <v>70</v>
      </c>
      <c r="F119" s="87">
        <v>22</v>
      </c>
      <c r="G119" s="115" t="s">
        <v>1474</v>
      </c>
      <c r="H119" s="114">
        <v>3.920138888888889E-2</v>
      </c>
      <c r="I119" s="113">
        <v>2.5000000000000001E-3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2.75">
      <c r="A120" s="20" t="s">
        <v>1475</v>
      </c>
      <c r="B120" s="90">
        <v>29</v>
      </c>
      <c r="C120" s="90">
        <v>27</v>
      </c>
      <c r="D120" s="24">
        <v>18</v>
      </c>
      <c r="E120" s="26">
        <v>72</v>
      </c>
      <c r="F120" s="87">
        <v>18</v>
      </c>
      <c r="G120" s="24" t="s">
        <v>1495</v>
      </c>
      <c r="H120" s="222">
        <v>3.7025462962962961E-2</v>
      </c>
      <c r="I120" s="203">
        <v>1.4004629629629629E-3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2.75">
      <c r="A121" s="20" t="s">
        <v>1572</v>
      </c>
      <c r="B121" s="90">
        <v>13</v>
      </c>
      <c r="C121" s="90">
        <v>5</v>
      </c>
      <c r="D121" s="29">
        <v>5</v>
      </c>
      <c r="E121" s="21" t="s">
        <v>1145</v>
      </c>
      <c r="F121" s="21" t="s">
        <v>1145</v>
      </c>
      <c r="G121" s="29" t="s">
        <v>1099</v>
      </c>
      <c r="H121" s="114">
        <v>2.8402777777777777E-2</v>
      </c>
      <c r="I121" s="109">
        <v>1.1111111111111111E-3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2.75">
      <c r="A122" s="20" t="s">
        <v>39</v>
      </c>
      <c r="B122" s="24">
        <v>53</v>
      </c>
      <c r="C122" s="24">
        <v>40</v>
      </c>
      <c r="D122" s="90">
        <v>44</v>
      </c>
      <c r="E122" s="32">
        <v>73</v>
      </c>
      <c r="F122" s="87">
        <v>17</v>
      </c>
      <c r="G122" s="34" t="s">
        <v>1542</v>
      </c>
      <c r="H122" s="222">
        <v>2.3553240740740739E-2</v>
      </c>
      <c r="I122" s="113">
        <v>1.6782407407407408E-3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2.75">
      <c r="A123" s="20" t="s">
        <v>1478</v>
      </c>
      <c r="B123" s="29">
        <v>65</v>
      </c>
      <c r="C123" s="90">
        <v>30</v>
      </c>
      <c r="D123" s="90">
        <v>31</v>
      </c>
      <c r="E123" s="21">
        <v>42</v>
      </c>
      <c r="F123" s="87">
        <v>16</v>
      </c>
      <c r="G123" s="29" t="s">
        <v>1472</v>
      </c>
      <c r="H123" s="114">
        <v>1.861111111111111E-2</v>
      </c>
      <c r="I123" s="109">
        <v>4.1666666666666669E-4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2.75">
      <c r="A124" s="20" t="s">
        <v>1537</v>
      </c>
      <c r="B124" s="24">
        <v>39</v>
      </c>
      <c r="C124" s="90">
        <v>14</v>
      </c>
      <c r="D124" s="24">
        <v>7</v>
      </c>
      <c r="E124" s="26">
        <v>46</v>
      </c>
      <c r="F124" s="26">
        <v>2</v>
      </c>
      <c r="G124" s="24" t="s">
        <v>1542</v>
      </c>
      <c r="H124" s="222">
        <v>3.6608796296296299E-2</v>
      </c>
      <c r="I124" s="113">
        <v>2.1064814814814813E-3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2.75">
      <c r="A125" s="20" t="s">
        <v>1300</v>
      </c>
      <c r="B125" s="29">
        <v>50</v>
      </c>
      <c r="C125" s="29">
        <v>39</v>
      </c>
      <c r="D125" s="90">
        <v>27</v>
      </c>
      <c r="E125" s="33">
        <v>116</v>
      </c>
      <c r="F125" s="87">
        <v>51</v>
      </c>
      <c r="G125" s="29" t="s">
        <v>1472</v>
      </c>
      <c r="H125" s="114">
        <v>3.2870370370370369E-2</v>
      </c>
      <c r="I125" s="109">
        <v>9.1435185185185185E-4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2.75">
      <c r="A126" s="20" t="s">
        <v>512</v>
      </c>
      <c r="B126" s="24">
        <v>40</v>
      </c>
      <c r="C126" s="90">
        <v>11</v>
      </c>
      <c r="D126" s="90">
        <v>26</v>
      </c>
      <c r="E126" s="169">
        <v>4</v>
      </c>
      <c r="F126" s="26">
        <v>0</v>
      </c>
      <c r="G126" s="24" t="s">
        <v>1532</v>
      </c>
      <c r="H126" s="222">
        <v>2.2094907407407407E-2</v>
      </c>
      <c r="I126" s="229">
        <v>1.8402777777777777E-3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2.75">
      <c r="A127" s="20" t="s">
        <v>1573</v>
      </c>
      <c r="B127" s="90">
        <v>6</v>
      </c>
      <c r="C127" s="90">
        <v>0</v>
      </c>
      <c r="D127" s="29">
        <v>5</v>
      </c>
      <c r="E127" s="21" t="s">
        <v>1145</v>
      </c>
      <c r="F127" s="21" t="s">
        <v>1145</v>
      </c>
      <c r="G127" s="29">
        <v>5</v>
      </c>
      <c r="H127" s="114">
        <v>2.1203703703703704E-2</v>
      </c>
      <c r="I127" s="230">
        <v>1.1921296296296296E-3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2.75">
      <c r="A128" s="20" t="s">
        <v>1574</v>
      </c>
      <c r="B128" s="90">
        <v>2</v>
      </c>
      <c r="C128" s="90">
        <v>4</v>
      </c>
      <c r="D128" s="90">
        <v>28</v>
      </c>
      <c r="E128" s="21" t="s">
        <v>1145</v>
      </c>
      <c r="F128" s="21" t="s">
        <v>1145</v>
      </c>
      <c r="G128" s="24">
        <v>5</v>
      </c>
      <c r="H128" s="222">
        <v>2.101851851851852E-2</v>
      </c>
      <c r="I128" s="222">
        <v>9.0277777777777774E-4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2.75">
      <c r="A129" s="20" t="s">
        <v>515</v>
      </c>
      <c r="B129" s="90">
        <v>2</v>
      </c>
      <c r="C129" s="90">
        <v>0</v>
      </c>
      <c r="D129" s="29">
        <v>0</v>
      </c>
      <c r="E129" s="33">
        <v>163</v>
      </c>
      <c r="F129" s="87">
        <v>47</v>
      </c>
      <c r="G129" s="29">
        <v>5</v>
      </c>
      <c r="H129" s="182">
        <v>4.7662037037037037E-2</v>
      </c>
      <c r="I129" s="182">
        <v>1.724537037037037E-3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2.75">
      <c r="A130" s="20" t="s">
        <v>1575</v>
      </c>
      <c r="B130" s="90">
        <v>14</v>
      </c>
      <c r="C130" s="90">
        <v>0</v>
      </c>
      <c r="D130" s="24">
        <v>6</v>
      </c>
      <c r="E130" s="21" t="s">
        <v>1145</v>
      </c>
      <c r="F130" s="21" t="s">
        <v>1145</v>
      </c>
      <c r="G130" s="24" t="s">
        <v>1576</v>
      </c>
      <c r="H130" s="222">
        <v>3.3125000000000002E-2</v>
      </c>
      <c r="I130" s="182">
        <v>1.9791666666666668E-3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2.75">
      <c r="A131" s="20" t="s">
        <v>1482</v>
      </c>
      <c r="B131" s="29">
        <v>48</v>
      </c>
      <c r="C131" s="90">
        <v>18</v>
      </c>
      <c r="D131" s="29">
        <v>14</v>
      </c>
      <c r="E131" s="21">
        <v>56</v>
      </c>
      <c r="F131" s="21">
        <v>7</v>
      </c>
      <c r="G131" s="29" t="s">
        <v>1532</v>
      </c>
      <c r="H131" s="114">
        <v>2.6157407407407407E-2</v>
      </c>
      <c r="I131" s="114">
        <v>1.4004629629629629E-3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2.75">
      <c r="A132" s="20" t="s">
        <v>814</v>
      </c>
      <c r="B132" s="24">
        <v>68</v>
      </c>
      <c r="C132" s="24">
        <v>47</v>
      </c>
      <c r="D132" s="90">
        <v>25</v>
      </c>
      <c r="E132" s="32">
        <v>83</v>
      </c>
      <c r="F132" s="154" t="s">
        <v>1327</v>
      </c>
      <c r="G132" s="24" t="s">
        <v>1577</v>
      </c>
      <c r="H132" s="182">
        <v>5.3182870370370373E-2</v>
      </c>
      <c r="I132" s="182">
        <v>2.7546296296296294E-3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2.75">
      <c r="A133" s="20" t="s">
        <v>1540</v>
      </c>
      <c r="B133" s="29">
        <v>53</v>
      </c>
      <c r="C133" s="90">
        <v>1</v>
      </c>
      <c r="D133" s="29">
        <v>15</v>
      </c>
      <c r="E133" s="87">
        <v>37</v>
      </c>
      <c r="F133" s="21">
        <v>8</v>
      </c>
      <c r="G133" s="29" t="s">
        <v>1476</v>
      </c>
      <c r="H133" s="182">
        <v>4.2314814814814812E-2</v>
      </c>
      <c r="I133" s="182">
        <v>2.2222222222222222E-3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2.75">
      <c r="A134" s="20" t="s">
        <v>1578</v>
      </c>
      <c r="B134" s="24">
        <v>40</v>
      </c>
      <c r="C134" s="24">
        <v>46</v>
      </c>
      <c r="D134" s="90">
        <v>22</v>
      </c>
      <c r="E134" s="32">
        <v>71</v>
      </c>
      <c r="F134" s="154" t="s">
        <v>1297</v>
      </c>
      <c r="G134" s="24" t="s">
        <v>185</v>
      </c>
      <c r="H134" s="222">
        <v>3.7222222222222219E-2</v>
      </c>
      <c r="I134" s="182">
        <v>2.673611111111111E-3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2.75">
      <c r="A135" s="20" t="s">
        <v>1216</v>
      </c>
      <c r="B135" s="90">
        <v>14</v>
      </c>
      <c r="C135" s="90">
        <v>17</v>
      </c>
      <c r="D135" s="29">
        <v>15</v>
      </c>
      <c r="E135" s="169">
        <v>2</v>
      </c>
      <c r="F135" s="21">
        <v>1</v>
      </c>
      <c r="G135" s="152" t="s">
        <v>1472</v>
      </c>
      <c r="H135" s="109">
        <v>2.9467592592592594E-2</v>
      </c>
      <c r="I135" s="109">
        <v>1.5972222222222223E-3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2.75">
      <c r="A136" s="20" t="s">
        <v>1579</v>
      </c>
      <c r="B136" s="90">
        <v>8</v>
      </c>
      <c r="C136" s="206">
        <v>39</v>
      </c>
      <c r="D136" s="155" t="s">
        <v>1291</v>
      </c>
      <c r="E136" s="168">
        <v>46</v>
      </c>
      <c r="F136" s="87">
        <v>20</v>
      </c>
      <c r="G136" s="206" t="s">
        <v>1542</v>
      </c>
      <c r="H136" s="224">
        <v>3.2233796296296295E-2</v>
      </c>
      <c r="I136" s="208">
        <v>1.4583333333333334E-3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2.75">
      <c r="A137" s="20" t="s">
        <v>27</v>
      </c>
      <c r="B137" s="155" t="s">
        <v>1580</v>
      </c>
      <c r="C137" s="155" t="s">
        <v>1551</v>
      </c>
      <c r="D137" s="90">
        <v>31</v>
      </c>
      <c r="E137" s="169">
        <v>1</v>
      </c>
      <c r="F137" s="207">
        <v>4</v>
      </c>
      <c r="G137" s="206" t="s">
        <v>185</v>
      </c>
      <c r="H137" s="224">
        <v>3.1539351851851853E-2</v>
      </c>
      <c r="I137" s="208">
        <v>1.4814814814814814E-3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2.75">
      <c r="A138" s="20" t="s">
        <v>38</v>
      </c>
      <c r="B138" s="206">
        <v>100</v>
      </c>
      <c r="C138" s="206">
        <v>49</v>
      </c>
      <c r="D138" s="90">
        <v>29</v>
      </c>
      <c r="E138" s="168">
        <v>59</v>
      </c>
      <c r="F138" s="87">
        <v>19</v>
      </c>
      <c r="G138" s="225" t="s">
        <v>1489</v>
      </c>
      <c r="H138" s="208">
        <v>3.5370370370370371E-2</v>
      </c>
      <c r="I138" s="113">
        <v>2.8935185185185184E-3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2.75">
      <c r="A139" s="20" t="s">
        <v>522</v>
      </c>
      <c r="B139" s="207">
        <v>82</v>
      </c>
      <c r="C139" s="206">
        <v>42</v>
      </c>
      <c r="D139" s="90">
        <v>27</v>
      </c>
      <c r="E139" s="168">
        <v>60</v>
      </c>
      <c r="F139" s="87">
        <v>17</v>
      </c>
      <c r="G139" s="231">
        <v>46299</v>
      </c>
      <c r="H139" s="182">
        <v>4.9594907407407407E-2</v>
      </c>
      <c r="I139" s="113">
        <v>3.460648148148148E-3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2.75">
      <c r="A140" s="20" t="s">
        <v>42</v>
      </c>
      <c r="B140" s="205" t="s">
        <v>1549</v>
      </c>
      <c r="C140" s="205" t="s">
        <v>1549</v>
      </c>
      <c r="D140" s="205" t="s">
        <v>1549</v>
      </c>
      <c r="E140" s="168">
        <v>91</v>
      </c>
      <c r="F140" s="87">
        <v>33</v>
      </c>
      <c r="G140" s="207">
        <v>0</v>
      </c>
      <c r="H140" s="208">
        <v>0</v>
      </c>
      <c r="I140" s="208">
        <v>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2.75">
      <c r="A141" s="20" t="s">
        <v>1496</v>
      </c>
      <c r="B141" s="207">
        <v>47</v>
      </c>
      <c r="C141" s="87">
        <v>22</v>
      </c>
      <c r="D141" s="207">
        <v>28</v>
      </c>
      <c r="E141" s="207">
        <v>53</v>
      </c>
      <c r="F141" s="87">
        <v>27</v>
      </c>
      <c r="G141" s="207" t="s">
        <v>1474</v>
      </c>
      <c r="H141" s="208">
        <v>3.1851851851851853E-2</v>
      </c>
      <c r="I141" s="208">
        <v>1.2847222222222223E-3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">
      <c r="A142" s="156" t="s">
        <v>15</v>
      </c>
      <c r="B142" s="170">
        <v>1011</v>
      </c>
      <c r="C142" s="210">
        <v>608</v>
      </c>
      <c r="D142" s="158">
        <v>532</v>
      </c>
      <c r="E142" s="170">
        <v>1539</v>
      </c>
      <c r="F142" s="158">
        <v>445</v>
      </c>
      <c r="G142" s="210" t="s">
        <v>1472</v>
      </c>
      <c r="H142" s="180">
        <v>3.2800925925925928E-2</v>
      </c>
      <c r="I142" s="180">
        <v>1.8055555555555555E-3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">
      <c r="A143" s="156" t="s">
        <v>1174</v>
      </c>
      <c r="B143" s="177" t="s">
        <v>1548</v>
      </c>
      <c r="C143" s="177" t="s">
        <v>1503</v>
      </c>
      <c r="D143" s="165">
        <v>500</v>
      </c>
      <c r="E143" s="164">
        <v>1000</v>
      </c>
      <c r="F143" s="165">
        <v>400</v>
      </c>
      <c r="G143" s="166">
        <v>45781</v>
      </c>
      <c r="H143" s="167">
        <v>4.1666666666666664E-2</v>
      </c>
      <c r="I143" s="167">
        <v>2.0717592592592593E-3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">
      <c r="A144" s="156" t="s">
        <v>1177</v>
      </c>
      <c r="B144" s="164">
        <v>38</v>
      </c>
      <c r="C144" s="165">
        <v>38</v>
      </c>
      <c r="D144" s="165">
        <v>20</v>
      </c>
      <c r="E144" s="164">
        <v>38</v>
      </c>
      <c r="F144" s="165">
        <v>15</v>
      </c>
      <c r="G144" s="165" t="s">
        <v>1203</v>
      </c>
      <c r="H144" s="167">
        <v>4.1655092592592591E-2</v>
      </c>
      <c r="I144" s="167">
        <v>1.6203703703703703E-3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">
      <c r="A145" s="232"/>
      <c r="B145" s="95"/>
      <c r="C145" s="63"/>
      <c r="D145" s="63"/>
      <c r="E145" s="95"/>
      <c r="F145" s="63"/>
      <c r="G145" s="63"/>
      <c r="H145" s="186"/>
      <c r="I145" s="18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">
      <c r="A146" s="232"/>
      <c r="B146" s="95"/>
      <c r="C146" s="63"/>
      <c r="D146" s="63"/>
      <c r="E146" s="95"/>
      <c r="F146" s="63"/>
      <c r="G146" s="63"/>
      <c r="H146" s="186"/>
      <c r="I146" s="18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5">
      <c r="A147" s="232"/>
      <c r="B147" s="95"/>
      <c r="C147" s="63"/>
      <c r="D147" s="63"/>
      <c r="E147" s="95"/>
      <c r="F147" s="63"/>
      <c r="G147" s="63"/>
      <c r="H147" s="186"/>
      <c r="I147" s="18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5">
      <c r="A148" s="232"/>
      <c r="B148" s="95"/>
      <c r="C148" s="63"/>
      <c r="D148" s="63"/>
      <c r="E148" s="95"/>
      <c r="F148" s="63"/>
      <c r="G148" s="63"/>
      <c r="H148" s="186"/>
      <c r="I148" s="18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5">
      <c r="A149" s="232"/>
      <c r="B149" s="95"/>
      <c r="C149" s="63"/>
      <c r="D149" s="63"/>
      <c r="E149" s="95"/>
      <c r="F149" s="63"/>
      <c r="G149" s="63"/>
      <c r="H149" s="186"/>
      <c r="I149" s="18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26.25">
      <c r="A150" s="4" t="s">
        <v>1669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>
      <c r="A151" s="16" t="s">
        <v>77</v>
      </c>
      <c r="B151" s="101" t="s">
        <v>1138</v>
      </c>
      <c r="C151" s="81" t="s">
        <v>32</v>
      </c>
      <c r="D151" s="81" t="s">
        <v>33</v>
      </c>
      <c r="E151" s="81" t="s">
        <v>34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2.75">
      <c r="A152" s="31" t="s">
        <v>28</v>
      </c>
      <c r="B152" s="81">
        <v>0</v>
      </c>
      <c r="C152" s="81">
        <v>1</v>
      </c>
      <c r="D152" s="81">
        <v>54</v>
      </c>
      <c r="E152" s="81">
        <v>0</v>
      </c>
      <c r="G152" s="1"/>
      <c r="H152" s="1"/>
      <c r="I152" s="1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2.75">
      <c r="A153" s="20" t="s">
        <v>22</v>
      </c>
      <c r="B153" s="81">
        <v>18</v>
      </c>
      <c r="C153" s="21">
        <v>2</v>
      </c>
      <c r="D153" s="21">
        <v>61</v>
      </c>
      <c r="E153" s="21">
        <v>21</v>
      </c>
      <c r="G153" s="1"/>
      <c r="H153" s="1"/>
      <c r="I153" s="1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2.75">
      <c r="A154" s="20" t="s">
        <v>25</v>
      </c>
      <c r="B154" s="21">
        <v>0</v>
      </c>
      <c r="C154" s="21">
        <v>1</v>
      </c>
      <c r="D154" s="21">
        <v>0</v>
      </c>
      <c r="E154" s="21">
        <v>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2.75">
      <c r="A155" s="20" t="s">
        <v>18</v>
      </c>
      <c r="B155" s="26">
        <v>0</v>
      </c>
      <c r="C155" s="233">
        <v>0</v>
      </c>
      <c r="D155" s="26">
        <v>0</v>
      </c>
      <c r="E155" s="26">
        <v>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2.75">
      <c r="A156" s="20" t="s">
        <v>12</v>
      </c>
      <c r="B156" s="21">
        <v>0</v>
      </c>
      <c r="C156" s="21">
        <v>5</v>
      </c>
      <c r="D156" s="33">
        <v>85</v>
      </c>
      <c r="E156" s="21">
        <v>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2.75">
      <c r="A157" s="20" t="s">
        <v>209</v>
      </c>
      <c r="B157" s="26">
        <v>39</v>
      </c>
      <c r="C157" s="29">
        <v>1</v>
      </c>
      <c r="D157" s="33">
        <v>68</v>
      </c>
      <c r="E157" s="21">
        <v>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2.75">
      <c r="A158" s="20" t="s">
        <v>519</v>
      </c>
      <c r="B158" s="29">
        <v>0</v>
      </c>
      <c r="C158" s="29">
        <v>7</v>
      </c>
      <c r="D158" s="33">
        <v>28</v>
      </c>
      <c r="E158" s="21">
        <v>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>
      <c r="A159" s="16" t="s">
        <v>80</v>
      </c>
      <c r="B159" s="17" t="s">
        <v>1140</v>
      </c>
      <c r="C159" s="17" t="s">
        <v>1141</v>
      </c>
      <c r="D159" s="101" t="s">
        <v>32</v>
      </c>
      <c r="E159" s="240" t="s">
        <v>1143</v>
      </c>
      <c r="F159" s="241"/>
      <c r="G159" s="101" t="s">
        <v>31</v>
      </c>
      <c r="H159" s="81" t="s">
        <v>1144</v>
      </c>
      <c r="I159" s="81" t="s">
        <v>35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2.75">
      <c r="A160" s="202" t="s">
        <v>1466</v>
      </c>
      <c r="B160" s="87">
        <v>14</v>
      </c>
      <c r="C160" s="87">
        <v>18</v>
      </c>
      <c r="D160" s="21">
        <v>17</v>
      </c>
      <c r="E160" s="21">
        <v>59</v>
      </c>
      <c r="F160" s="21">
        <v>12</v>
      </c>
      <c r="G160" s="21" t="s">
        <v>1477</v>
      </c>
      <c r="H160" s="114">
        <v>7.7546296296296293E-4</v>
      </c>
      <c r="I160" s="113">
        <v>2.5462962962962965E-3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2.75">
      <c r="A161" s="20" t="s">
        <v>21</v>
      </c>
      <c r="B161" s="90">
        <v>54</v>
      </c>
      <c r="C161" s="29">
        <v>46</v>
      </c>
      <c r="D161" s="90">
        <v>34</v>
      </c>
      <c r="E161" s="169">
        <v>37</v>
      </c>
      <c r="F161" s="90">
        <v>17</v>
      </c>
      <c r="G161" s="29" t="s">
        <v>1581</v>
      </c>
      <c r="H161" s="114">
        <v>2.9594907407407407E-2</v>
      </c>
      <c r="I161" s="114">
        <v>1.5046296296296296E-3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2.75">
      <c r="A162" s="20" t="s">
        <v>1287</v>
      </c>
      <c r="B162" s="90">
        <v>15</v>
      </c>
      <c r="C162" s="90">
        <v>27</v>
      </c>
      <c r="D162" s="87">
        <v>28</v>
      </c>
      <c r="E162" s="33">
        <v>40</v>
      </c>
      <c r="F162" s="21">
        <v>2</v>
      </c>
      <c r="G162" s="29" t="s">
        <v>1474</v>
      </c>
      <c r="H162" s="114">
        <v>1.9016203703703705E-2</v>
      </c>
      <c r="I162" s="109">
        <v>1.0185185185185184E-3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2.75">
      <c r="A163" s="20" t="s">
        <v>41</v>
      </c>
      <c r="B163" s="90">
        <v>20</v>
      </c>
      <c r="C163" s="90">
        <v>28</v>
      </c>
      <c r="D163" s="21">
        <v>10</v>
      </c>
      <c r="E163" s="33">
        <v>42</v>
      </c>
      <c r="F163" s="21">
        <v>5</v>
      </c>
      <c r="G163" s="29" t="s">
        <v>1557</v>
      </c>
      <c r="H163" s="182">
        <v>7.2523148148148142E-2</v>
      </c>
      <c r="I163" s="114">
        <v>1.0648148148148149E-3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2.75">
      <c r="A164" s="20" t="s">
        <v>135</v>
      </c>
      <c r="B164" s="29">
        <v>41</v>
      </c>
      <c r="C164" s="90">
        <v>37</v>
      </c>
      <c r="D164" s="87">
        <v>25</v>
      </c>
      <c r="E164" s="169">
        <v>18</v>
      </c>
      <c r="F164" s="127" t="s">
        <v>1151</v>
      </c>
      <c r="G164" s="115" t="s">
        <v>1582</v>
      </c>
      <c r="H164" s="155" t="s">
        <v>1583</v>
      </c>
      <c r="I164" s="113">
        <v>5.5671296296296293E-3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2.75">
      <c r="A165" s="20" t="s">
        <v>796</v>
      </c>
      <c r="B165" s="103">
        <v>65</v>
      </c>
      <c r="C165" s="151">
        <v>6</v>
      </c>
      <c r="D165" s="87">
        <v>34</v>
      </c>
      <c r="E165" s="33">
        <v>73</v>
      </c>
      <c r="F165" s="21">
        <v>8</v>
      </c>
      <c r="G165" s="29" t="s">
        <v>1484</v>
      </c>
      <c r="H165" s="114">
        <v>2.3796296296296298E-2</v>
      </c>
      <c r="I165" s="109">
        <v>1.3425925925925925E-3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2.75">
      <c r="A166" s="20" t="s">
        <v>86</v>
      </c>
      <c r="B166" s="151">
        <v>6</v>
      </c>
      <c r="C166" s="151">
        <v>0</v>
      </c>
      <c r="D166" s="29">
        <v>6</v>
      </c>
      <c r="E166" s="33">
        <v>56</v>
      </c>
      <c r="F166" s="21">
        <v>0</v>
      </c>
      <c r="G166" s="115" t="s">
        <v>1238</v>
      </c>
      <c r="H166" s="182">
        <v>4.2893518518518518E-2</v>
      </c>
      <c r="I166" s="113">
        <v>1.8171296296296297E-3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2.75">
      <c r="A167" s="20" t="s">
        <v>1475</v>
      </c>
      <c r="B167" s="29">
        <v>48</v>
      </c>
      <c r="C167" s="29">
        <v>39</v>
      </c>
      <c r="D167" s="90">
        <v>22</v>
      </c>
      <c r="E167" s="87">
        <v>37</v>
      </c>
      <c r="F167" s="87">
        <v>17</v>
      </c>
      <c r="G167" s="29" t="s">
        <v>1555</v>
      </c>
      <c r="H167" s="114">
        <v>3.6423611111111108E-2</v>
      </c>
      <c r="I167" s="109">
        <v>1.5277777777777779E-3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2.75">
      <c r="A168" s="20" t="s">
        <v>1572</v>
      </c>
      <c r="B168" s="29">
        <v>45</v>
      </c>
      <c r="C168" s="90">
        <v>12</v>
      </c>
      <c r="D168" s="90">
        <v>25</v>
      </c>
      <c r="E168" s="21" t="s">
        <v>1145</v>
      </c>
      <c r="F168" s="21" t="s">
        <v>1145</v>
      </c>
      <c r="G168" s="29" t="s">
        <v>1480</v>
      </c>
      <c r="H168" s="114">
        <v>2.2881944444444444E-2</v>
      </c>
      <c r="I168" s="109">
        <v>1.1574074074074073E-3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2.75">
      <c r="A169" s="20" t="s">
        <v>39</v>
      </c>
      <c r="B169" s="90">
        <v>26</v>
      </c>
      <c r="C169" s="90">
        <v>25</v>
      </c>
      <c r="D169" s="90">
        <v>30</v>
      </c>
      <c r="E169" s="169">
        <v>32</v>
      </c>
      <c r="F169" s="21">
        <v>7</v>
      </c>
      <c r="G169" s="103" t="s">
        <v>1495</v>
      </c>
      <c r="H169" s="114">
        <v>2.4270833333333332E-2</v>
      </c>
      <c r="I169" s="109">
        <v>1.0532407407407407E-3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2.75">
      <c r="A170" s="20" t="s">
        <v>1478</v>
      </c>
      <c r="B170" s="29">
        <v>61</v>
      </c>
      <c r="C170" s="90">
        <v>36</v>
      </c>
      <c r="D170" s="90">
        <v>33</v>
      </c>
      <c r="E170" s="87">
        <v>36</v>
      </c>
      <c r="F170" s="21">
        <v>5</v>
      </c>
      <c r="G170" s="29" t="s">
        <v>184</v>
      </c>
      <c r="H170" s="114">
        <v>1.7453703703703704E-2</v>
      </c>
      <c r="I170" s="109">
        <v>4.2824074074074075E-4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2.75">
      <c r="A171" s="20" t="s">
        <v>1537</v>
      </c>
      <c r="B171" s="90">
        <v>31</v>
      </c>
      <c r="C171" s="90">
        <v>19</v>
      </c>
      <c r="D171" s="29">
        <v>20</v>
      </c>
      <c r="E171" s="87">
        <v>34</v>
      </c>
      <c r="F171" s="21">
        <v>5</v>
      </c>
      <c r="G171" s="29" t="s">
        <v>1554</v>
      </c>
      <c r="H171" s="182">
        <v>4.508101851851852E-2</v>
      </c>
      <c r="I171" s="113">
        <v>1.9444444444444444E-3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2.75">
      <c r="A172" s="20" t="s">
        <v>1300</v>
      </c>
      <c r="B172" s="29">
        <v>60</v>
      </c>
      <c r="C172" s="29">
        <v>68</v>
      </c>
      <c r="D172" s="90">
        <v>41</v>
      </c>
      <c r="E172" s="169">
        <v>24</v>
      </c>
      <c r="F172" s="21">
        <v>10</v>
      </c>
      <c r="G172" s="21" t="s">
        <v>1584</v>
      </c>
      <c r="H172" s="114">
        <v>3.4664351851851849E-2</v>
      </c>
      <c r="I172" s="109">
        <v>1.2152777777777778E-3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2.75">
      <c r="A173" s="20" t="s">
        <v>512</v>
      </c>
      <c r="B173" s="90">
        <v>14</v>
      </c>
      <c r="C173" s="90">
        <v>2</v>
      </c>
      <c r="D173" s="29">
        <v>12</v>
      </c>
      <c r="E173" s="169">
        <v>2</v>
      </c>
      <c r="F173" s="21">
        <v>0</v>
      </c>
      <c r="G173" s="29" t="s">
        <v>1288</v>
      </c>
      <c r="H173" s="114">
        <v>1.4733796296296297E-2</v>
      </c>
      <c r="I173" s="228">
        <v>9.837962962962962E-4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2.75">
      <c r="A174" s="20" t="s">
        <v>1573</v>
      </c>
      <c r="B174" s="90">
        <v>17</v>
      </c>
      <c r="C174" s="90">
        <v>0</v>
      </c>
      <c r="D174" s="90">
        <v>30</v>
      </c>
      <c r="E174" s="21" t="s">
        <v>1145</v>
      </c>
      <c r="F174" s="21" t="s">
        <v>1145</v>
      </c>
      <c r="G174" s="29" t="s">
        <v>1476</v>
      </c>
      <c r="H174" s="114">
        <v>1.9375E-2</v>
      </c>
      <c r="I174" s="230">
        <v>1.1458333333333333E-3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2.75">
      <c r="A175" s="20" t="s">
        <v>1574</v>
      </c>
      <c r="B175" s="90">
        <v>18</v>
      </c>
      <c r="C175" s="90">
        <v>8</v>
      </c>
      <c r="D175" s="90">
        <v>43</v>
      </c>
      <c r="E175" s="21" t="s">
        <v>1145</v>
      </c>
      <c r="F175" s="21" t="s">
        <v>1145</v>
      </c>
      <c r="G175" s="29" t="s">
        <v>1585</v>
      </c>
      <c r="H175" s="114">
        <v>2.630787037037037E-2</v>
      </c>
      <c r="I175" s="114">
        <v>1.0879629629629629E-3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2.75">
      <c r="A176" s="20" t="s">
        <v>515</v>
      </c>
      <c r="B176" s="90">
        <v>3</v>
      </c>
      <c r="C176" s="90">
        <v>5</v>
      </c>
      <c r="D176" s="29">
        <v>2</v>
      </c>
      <c r="E176" s="33">
        <v>106</v>
      </c>
      <c r="F176" s="21">
        <v>5</v>
      </c>
      <c r="G176" s="29" t="s">
        <v>488</v>
      </c>
      <c r="H176" s="114">
        <v>3.2951388888888891E-2</v>
      </c>
      <c r="I176" s="114">
        <v>1.5162037037037036E-3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2.75">
      <c r="A177" s="20" t="s">
        <v>1575</v>
      </c>
      <c r="B177" s="90">
        <v>20</v>
      </c>
      <c r="C177" s="90">
        <v>0</v>
      </c>
      <c r="D177" s="90">
        <v>32</v>
      </c>
      <c r="E177" s="21" t="s">
        <v>1145</v>
      </c>
      <c r="F177" s="21" t="s">
        <v>1145</v>
      </c>
      <c r="G177" s="29" t="s">
        <v>1586</v>
      </c>
      <c r="H177" s="114">
        <v>1.9884259259259258E-2</v>
      </c>
      <c r="I177" s="114">
        <v>1.261574074074074E-3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2.75">
      <c r="A178" s="20" t="s">
        <v>1482</v>
      </c>
      <c r="B178" s="29">
        <v>77</v>
      </c>
      <c r="C178" s="90">
        <v>31</v>
      </c>
      <c r="D178" s="90">
        <v>34</v>
      </c>
      <c r="E178" s="21">
        <v>42</v>
      </c>
      <c r="F178" s="21">
        <v>2</v>
      </c>
      <c r="G178" s="29" t="s">
        <v>1587</v>
      </c>
      <c r="H178" s="114">
        <v>1.9317129629629629E-2</v>
      </c>
      <c r="I178" s="114">
        <v>9.9537037037037042E-4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2.75">
      <c r="A179" s="20" t="s">
        <v>814</v>
      </c>
      <c r="B179" s="29">
        <v>51</v>
      </c>
      <c r="C179" s="29">
        <v>55</v>
      </c>
      <c r="D179" s="29">
        <v>13</v>
      </c>
      <c r="E179" s="33">
        <v>46</v>
      </c>
      <c r="F179" s="87">
        <v>17</v>
      </c>
      <c r="G179" s="29" t="s">
        <v>1288</v>
      </c>
      <c r="H179" s="114">
        <v>3.5497685185185188E-2</v>
      </c>
      <c r="I179" s="182">
        <v>1.6782407407407408E-3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2.75">
      <c r="A180" s="20" t="s">
        <v>1540</v>
      </c>
      <c r="B180" s="29">
        <v>74</v>
      </c>
      <c r="C180" s="90">
        <v>1</v>
      </c>
      <c r="D180" s="29">
        <v>16</v>
      </c>
      <c r="E180" s="21">
        <v>75</v>
      </c>
      <c r="F180" s="21">
        <v>11</v>
      </c>
      <c r="G180" s="29" t="s">
        <v>1484</v>
      </c>
      <c r="H180" s="114">
        <v>3.3842592592592591E-2</v>
      </c>
      <c r="I180" s="182">
        <v>1.9444444444444444E-3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2.75">
      <c r="A181" s="20" t="s">
        <v>1588</v>
      </c>
      <c r="B181" s="29">
        <v>64</v>
      </c>
      <c r="C181" s="29">
        <v>39</v>
      </c>
      <c r="D181" s="90">
        <v>27</v>
      </c>
      <c r="E181" s="169">
        <v>1</v>
      </c>
      <c r="F181" s="152" t="s">
        <v>1457</v>
      </c>
      <c r="G181" s="90" t="s">
        <v>1589</v>
      </c>
      <c r="H181" s="114">
        <v>3.9490740740740743E-2</v>
      </c>
      <c r="I181" s="182">
        <v>3.2407407407407406E-3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2.75">
      <c r="A182" s="20" t="s">
        <v>1590</v>
      </c>
      <c r="B182" s="90">
        <v>17</v>
      </c>
      <c r="C182" s="90">
        <v>22</v>
      </c>
      <c r="D182" s="115" t="s">
        <v>1222</v>
      </c>
      <c r="E182" s="169">
        <v>6</v>
      </c>
      <c r="F182" s="21">
        <v>1</v>
      </c>
      <c r="G182" s="29" t="s">
        <v>1484</v>
      </c>
      <c r="H182" s="114">
        <v>3.111111111111111E-2</v>
      </c>
      <c r="I182" s="109">
        <v>9.837962962962962E-4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2.75">
      <c r="A183" s="20" t="s">
        <v>27</v>
      </c>
      <c r="B183" s="155" t="s">
        <v>1151</v>
      </c>
      <c r="C183" s="155" t="s">
        <v>1364</v>
      </c>
      <c r="D183" s="29">
        <v>13</v>
      </c>
      <c r="E183" s="169">
        <v>5</v>
      </c>
      <c r="F183" s="21">
        <v>8</v>
      </c>
      <c r="G183" s="29" t="s">
        <v>1536</v>
      </c>
      <c r="H183" s="114">
        <v>2.7210648148148147E-2</v>
      </c>
      <c r="I183" s="109">
        <v>1.1111111111111111E-3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2.75">
      <c r="A184" s="20" t="s">
        <v>38</v>
      </c>
      <c r="B184" s="29">
        <v>64</v>
      </c>
      <c r="C184" s="90">
        <v>24</v>
      </c>
      <c r="D184" s="29">
        <v>19</v>
      </c>
      <c r="E184" s="169">
        <v>19</v>
      </c>
      <c r="F184" s="21">
        <v>0</v>
      </c>
      <c r="G184" s="152" t="s">
        <v>1558</v>
      </c>
      <c r="H184" s="109">
        <v>1.8171296296296297E-2</v>
      </c>
      <c r="I184" s="109">
        <v>7.6388888888888893E-4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2.75">
      <c r="A185" s="20" t="s">
        <v>522</v>
      </c>
      <c r="B185" s="21">
        <v>60</v>
      </c>
      <c r="C185" s="90">
        <v>32</v>
      </c>
      <c r="D185" s="90">
        <v>24</v>
      </c>
      <c r="E185" s="169">
        <v>13</v>
      </c>
      <c r="F185" s="21">
        <v>6</v>
      </c>
      <c r="G185" s="29" t="s">
        <v>1536</v>
      </c>
      <c r="H185" s="182">
        <v>5.2789351851851851E-2</v>
      </c>
      <c r="I185" s="113">
        <v>2.8587962962962963E-3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2.75">
      <c r="A186" s="20" t="s">
        <v>42</v>
      </c>
      <c r="B186" s="115" t="s">
        <v>1549</v>
      </c>
      <c r="C186" s="115" t="s">
        <v>1549</v>
      </c>
      <c r="D186" s="115" t="s">
        <v>1441</v>
      </c>
      <c r="E186" s="33">
        <v>0</v>
      </c>
      <c r="F186" s="21">
        <v>0</v>
      </c>
      <c r="G186" s="21">
        <v>0</v>
      </c>
      <c r="H186" s="21">
        <v>0</v>
      </c>
      <c r="I186" s="21">
        <v>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2.75">
      <c r="A187" s="20" t="s">
        <v>1496</v>
      </c>
      <c r="B187" s="21">
        <v>68</v>
      </c>
      <c r="C187" s="87">
        <v>23</v>
      </c>
      <c r="D187" s="87">
        <v>37</v>
      </c>
      <c r="E187" s="87">
        <v>33</v>
      </c>
      <c r="F187" s="21">
        <v>0</v>
      </c>
      <c r="G187" s="21" t="s">
        <v>1302</v>
      </c>
      <c r="H187" s="109">
        <v>2.2199074074074072E-2</v>
      </c>
      <c r="I187" s="109">
        <v>6.8287037037037036E-4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5">
      <c r="A188" s="156" t="s">
        <v>15</v>
      </c>
      <c r="B188" s="171">
        <v>1033</v>
      </c>
      <c r="C188" s="210">
        <v>603</v>
      </c>
      <c r="D188" s="171">
        <v>627</v>
      </c>
      <c r="E188" s="184">
        <v>836</v>
      </c>
      <c r="F188" s="171">
        <v>121</v>
      </c>
      <c r="G188" s="210" t="s">
        <v>1468</v>
      </c>
      <c r="H188" s="180">
        <v>3.0983796296296297E-2</v>
      </c>
      <c r="I188" s="180">
        <v>1.4583333333333334E-3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5">
      <c r="A189" s="156" t="s">
        <v>1174</v>
      </c>
      <c r="B189" s="177" t="s">
        <v>1548</v>
      </c>
      <c r="C189" s="177" t="s">
        <v>1503</v>
      </c>
      <c r="D189" s="165">
        <v>500</v>
      </c>
      <c r="E189" s="164">
        <v>1000</v>
      </c>
      <c r="F189" s="165">
        <v>400</v>
      </c>
      <c r="G189" s="166">
        <v>45781</v>
      </c>
      <c r="H189" s="167">
        <v>4.1666666666666664E-2</v>
      </c>
      <c r="I189" s="167">
        <v>2.0717592592592593E-3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5">
      <c r="A190" s="156" t="s">
        <v>1177</v>
      </c>
      <c r="B190" s="164">
        <v>38</v>
      </c>
      <c r="C190" s="165">
        <v>38</v>
      </c>
      <c r="D190" s="165">
        <v>20</v>
      </c>
      <c r="E190" s="164">
        <v>38</v>
      </c>
      <c r="F190" s="165">
        <v>15</v>
      </c>
      <c r="G190" s="165" t="s">
        <v>1203</v>
      </c>
      <c r="H190" s="167">
        <v>4.1655092592592591E-2</v>
      </c>
      <c r="I190" s="167">
        <v>1.6203703703703703E-3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5">
      <c r="A191" s="276"/>
      <c r="B191" s="276"/>
      <c r="C191" s="277"/>
      <c r="D191" s="277"/>
      <c r="E191" s="277"/>
      <c r="F191" s="139"/>
      <c r="G191" s="139"/>
      <c r="H191" s="201"/>
      <c r="I191" s="201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2.75">
      <c r="A192" s="278"/>
      <c r="B192" s="279"/>
      <c r="C192" s="278"/>
      <c r="D192" s="278"/>
      <c r="E192" s="280"/>
      <c r="F192" s="139"/>
      <c r="G192" s="139"/>
      <c r="H192" s="201"/>
      <c r="I192" s="201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2.75">
      <c r="A193" s="139"/>
      <c r="B193" s="141"/>
      <c r="C193" s="139"/>
      <c r="D193" s="139"/>
      <c r="E193" s="200"/>
      <c r="F193" s="139"/>
      <c r="G193" s="139"/>
      <c r="H193" s="201"/>
      <c r="I193" s="201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2.75">
      <c r="A194" s="139"/>
      <c r="B194" s="141"/>
      <c r="C194" s="139"/>
      <c r="D194" s="139"/>
      <c r="E194" s="200"/>
      <c r="F194" s="139"/>
      <c r="G194" s="139"/>
      <c r="H194" s="201"/>
      <c r="I194" s="201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2.75">
      <c r="A195" s="139"/>
      <c r="B195" s="141"/>
      <c r="C195" s="139"/>
      <c r="D195" s="139"/>
      <c r="E195" s="200"/>
      <c r="F195" s="139"/>
      <c r="G195" s="139"/>
      <c r="H195" s="201"/>
      <c r="I195" s="201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2.75">
      <c r="A196" s="139"/>
      <c r="B196" s="141"/>
      <c r="C196" s="139"/>
      <c r="D196" s="139"/>
      <c r="E196" s="200"/>
      <c r="F196" s="139"/>
      <c r="G196" s="139"/>
      <c r="H196" s="201"/>
      <c r="I196" s="201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2.75">
      <c r="A197" s="139"/>
      <c r="B197" s="141"/>
      <c r="C197" s="139"/>
      <c r="D197" s="139"/>
      <c r="E197" s="200"/>
      <c r="F197" s="139"/>
      <c r="G197" s="139"/>
      <c r="H197" s="201"/>
      <c r="I197" s="201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2.75">
      <c r="A198" s="139"/>
      <c r="B198" s="141"/>
      <c r="C198" s="139"/>
      <c r="D198" s="139"/>
      <c r="E198" s="200"/>
      <c r="F198" s="139"/>
      <c r="G198" s="139"/>
      <c r="H198" s="201"/>
      <c r="I198" s="201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2.75">
      <c r="A199" s="139"/>
      <c r="B199" s="141"/>
      <c r="C199" s="139"/>
      <c r="D199" s="139"/>
      <c r="E199" s="200"/>
      <c r="F199" s="139"/>
      <c r="G199" s="139"/>
      <c r="H199" s="201"/>
      <c r="I199" s="201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2.75">
      <c r="A200" s="139"/>
      <c r="B200" s="141"/>
      <c r="C200" s="139"/>
      <c r="D200" s="139"/>
      <c r="E200" s="200"/>
      <c r="F200" s="139"/>
      <c r="G200" s="139"/>
      <c r="H200" s="201"/>
      <c r="I200" s="201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2.75">
      <c r="A201" s="139"/>
      <c r="B201" s="141"/>
      <c r="C201" s="139"/>
      <c r="D201" s="139"/>
      <c r="E201" s="200"/>
      <c r="F201" s="139"/>
      <c r="G201" s="139"/>
      <c r="H201" s="201"/>
      <c r="I201" s="201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2.75">
      <c r="A202" s="139"/>
      <c r="B202" s="141"/>
      <c r="C202" s="139"/>
      <c r="D202" s="139"/>
      <c r="E202" s="200"/>
      <c r="F202" s="139"/>
      <c r="G202" s="139"/>
      <c r="H202" s="201"/>
      <c r="I202" s="201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2.75">
      <c r="A203" s="139"/>
      <c r="B203" s="141"/>
      <c r="C203" s="139"/>
      <c r="D203" s="139"/>
      <c r="E203" s="200"/>
      <c r="F203" s="139"/>
      <c r="G203" s="139"/>
      <c r="H203" s="201"/>
      <c r="I203" s="201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2.75">
      <c r="A204" s="139"/>
      <c r="B204" s="141"/>
      <c r="C204" s="139"/>
      <c r="D204" s="139"/>
      <c r="E204" s="200"/>
      <c r="F204" s="139"/>
      <c r="G204" s="139"/>
      <c r="H204" s="201"/>
      <c r="I204" s="201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2.75">
      <c r="A205" s="139"/>
      <c r="B205" s="141"/>
      <c r="C205" s="139"/>
      <c r="D205" s="139"/>
      <c r="E205" s="200"/>
      <c r="F205" s="139"/>
      <c r="G205" s="139"/>
      <c r="H205" s="201"/>
      <c r="I205" s="201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2.75">
      <c r="A206" s="139"/>
      <c r="B206" s="141"/>
      <c r="C206" s="139"/>
      <c r="D206" s="139"/>
      <c r="E206" s="200"/>
      <c r="F206" s="139"/>
      <c r="G206" s="139"/>
      <c r="H206" s="201"/>
      <c r="I206" s="201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2.75">
      <c r="A207" s="139"/>
      <c r="B207" s="141"/>
      <c r="C207" s="139"/>
      <c r="D207" s="139"/>
      <c r="E207" s="200"/>
      <c r="F207" s="139"/>
      <c r="G207" s="139"/>
      <c r="H207" s="201"/>
      <c r="I207" s="201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2.75">
      <c r="A208" s="139"/>
      <c r="B208" s="141"/>
      <c r="C208" s="139"/>
      <c r="D208" s="139"/>
      <c r="E208" s="200"/>
      <c r="F208" s="139"/>
      <c r="G208" s="139"/>
      <c r="H208" s="201"/>
      <c r="I208" s="201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2.75">
      <c r="A209" s="139"/>
      <c r="B209" s="141"/>
      <c r="C209" s="139"/>
      <c r="D209" s="139"/>
      <c r="E209" s="200"/>
      <c r="F209" s="139"/>
      <c r="G209" s="139"/>
      <c r="H209" s="201"/>
      <c r="I209" s="201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2.75">
      <c r="A210" s="139"/>
      <c r="B210" s="141"/>
      <c r="C210" s="139"/>
      <c r="D210" s="139"/>
      <c r="E210" s="200"/>
      <c r="F210" s="139"/>
      <c r="G210" s="139"/>
      <c r="H210" s="201"/>
      <c r="I210" s="201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2.75">
      <c r="A211" s="139"/>
      <c r="B211" s="141"/>
      <c r="C211" s="139"/>
      <c r="D211" s="139"/>
      <c r="E211" s="200"/>
      <c r="F211" s="139"/>
      <c r="G211" s="139"/>
      <c r="H211" s="201"/>
      <c r="I211" s="201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2.75">
      <c r="A212" s="139"/>
      <c r="B212" s="141"/>
      <c r="C212" s="139"/>
      <c r="D212" s="139"/>
      <c r="E212" s="200"/>
      <c r="F212" s="139"/>
      <c r="G212" s="139"/>
      <c r="H212" s="201"/>
      <c r="I212" s="201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2.75">
      <c r="A213" s="139"/>
      <c r="B213" s="141"/>
      <c r="C213" s="139"/>
      <c r="D213" s="139"/>
      <c r="E213" s="200"/>
      <c r="F213" s="139"/>
      <c r="G213" s="139"/>
      <c r="H213" s="201"/>
      <c r="I213" s="201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2.75">
      <c r="A214" s="139"/>
      <c r="B214" s="141"/>
      <c r="C214" s="139"/>
      <c r="D214" s="139"/>
      <c r="E214" s="200"/>
      <c r="F214" s="139"/>
      <c r="G214" s="139"/>
      <c r="H214" s="201"/>
      <c r="I214" s="201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2.75">
      <c r="A215" s="139"/>
      <c r="B215" s="141"/>
      <c r="C215" s="139"/>
      <c r="D215" s="139"/>
      <c r="E215" s="200"/>
      <c r="F215" s="139"/>
      <c r="G215" s="139"/>
      <c r="H215" s="201"/>
      <c r="I215" s="201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2.75">
      <c r="A216" s="139"/>
      <c r="B216" s="141"/>
      <c r="C216" s="139"/>
      <c r="D216" s="139"/>
      <c r="E216" s="200"/>
      <c r="F216" s="139"/>
      <c r="G216" s="139"/>
      <c r="H216" s="201"/>
      <c r="I216" s="201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2.75">
      <c r="A217" s="139"/>
      <c r="B217" s="141"/>
      <c r="C217" s="139"/>
      <c r="D217" s="139"/>
      <c r="E217" s="200"/>
      <c r="F217" s="139"/>
      <c r="G217" s="139"/>
      <c r="H217" s="201"/>
      <c r="I217" s="201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2.75">
      <c r="A218" s="139"/>
      <c r="B218" s="141"/>
      <c r="C218" s="139"/>
      <c r="D218" s="139"/>
      <c r="E218" s="200"/>
      <c r="F218" s="139"/>
      <c r="G218" s="139"/>
      <c r="H218" s="201"/>
      <c r="I218" s="201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2.75">
      <c r="A219" s="139"/>
      <c r="B219" s="141"/>
      <c r="C219" s="139"/>
      <c r="D219" s="139"/>
      <c r="E219" s="200"/>
      <c r="F219" s="139"/>
      <c r="G219" s="139"/>
      <c r="H219" s="201"/>
      <c r="I219" s="201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2.75">
      <c r="A220" s="139"/>
      <c r="B220" s="141"/>
      <c r="C220" s="139"/>
      <c r="D220" s="139"/>
      <c r="E220" s="200"/>
      <c r="F220" s="139"/>
      <c r="G220" s="139"/>
      <c r="H220" s="201"/>
      <c r="I220" s="201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2.75">
      <c r="A221" s="139"/>
      <c r="B221" s="141"/>
      <c r="C221" s="139"/>
      <c r="D221" s="139"/>
      <c r="E221" s="200"/>
      <c r="F221" s="139"/>
      <c r="G221" s="139"/>
      <c r="H221" s="201"/>
      <c r="I221" s="201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2.75">
      <c r="A222" s="139"/>
      <c r="B222" s="141"/>
      <c r="C222" s="139"/>
      <c r="D222" s="139"/>
      <c r="E222" s="200"/>
      <c r="F222" s="139"/>
      <c r="G222" s="139"/>
      <c r="H222" s="201"/>
      <c r="I222" s="201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2.75">
      <c r="A223" s="139"/>
      <c r="B223" s="141"/>
      <c r="C223" s="139"/>
      <c r="D223" s="139"/>
      <c r="E223" s="200"/>
      <c r="F223" s="139"/>
      <c r="G223" s="139"/>
      <c r="H223" s="201"/>
      <c r="I223" s="201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2.75">
      <c r="A224" s="139"/>
      <c r="B224" s="141"/>
      <c r="C224" s="139"/>
      <c r="D224" s="139"/>
      <c r="E224" s="200"/>
      <c r="F224" s="139"/>
      <c r="G224" s="139"/>
      <c r="H224" s="201"/>
      <c r="I224" s="201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2.75">
      <c r="A225" s="139"/>
      <c r="B225" s="141"/>
      <c r="C225" s="139"/>
      <c r="D225" s="139"/>
      <c r="E225" s="200"/>
      <c r="F225" s="139"/>
      <c r="G225" s="139"/>
      <c r="H225" s="201"/>
      <c r="I225" s="201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2.75">
      <c r="A226" s="139"/>
      <c r="B226" s="141"/>
      <c r="C226" s="139"/>
      <c r="D226" s="139"/>
      <c r="E226" s="200"/>
      <c r="F226" s="139"/>
      <c r="G226" s="139"/>
      <c r="H226" s="201"/>
      <c r="I226" s="201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2.75">
      <c r="A227" s="139"/>
      <c r="B227" s="141"/>
      <c r="C227" s="139"/>
      <c r="D227" s="139"/>
      <c r="E227" s="200"/>
      <c r="F227" s="139"/>
      <c r="G227" s="139"/>
      <c r="H227" s="201"/>
      <c r="I227" s="201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2.75">
      <c r="A228" s="139"/>
      <c r="B228" s="141"/>
      <c r="C228" s="139"/>
      <c r="D228" s="139"/>
      <c r="E228" s="200"/>
      <c r="F228" s="139"/>
      <c r="G228" s="139"/>
      <c r="H228" s="201"/>
      <c r="I228" s="201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2.75">
      <c r="A229" s="139"/>
      <c r="B229" s="141"/>
      <c r="C229" s="139"/>
      <c r="D229" s="139"/>
      <c r="E229" s="200"/>
      <c r="F229" s="139"/>
      <c r="G229" s="139"/>
      <c r="H229" s="201"/>
      <c r="I229" s="201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2.75">
      <c r="A230" s="139"/>
      <c r="B230" s="141"/>
      <c r="C230" s="139"/>
      <c r="D230" s="139"/>
      <c r="E230" s="200"/>
      <c r="F230" s="139"/>
      <c r="G230" s="139"/>
      <c r="H230" s="201"/>
      <c r="I230" s="201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2.75">
      <c r="A231" s="139"/>
      <c r="B231" s="141"/>
      <c r="C231" s="139"/>
      <c r="D231" s="139"/>
      <c r="E231" s="200"/>
      <c r="F231" s="139"/>
      <c r="G231" s="139"/>
      <c r="H231" s="201"/>
      <c r="I231" s="201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2.75">
      <c r="A232" s="139"/>
      <c r="B232" s="141"/>
      <c r="C232" s="139"/>
      <c r="D232" s="139"/>
      <c r="E232" s="200"/>
      <c r="F232" s="139"/>
      <c r="G232" s="139"/>
      <c r="H232" s="201"/>
      <c r="I232" s="201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2.75">
      <c r="A233" s="139"/>
      <c r="B233" s="141"/>
      <c r="C233" s="139"/>
      <c r="D233" s="139"/>
      <c r="E233" s="200"/>
      <c r="F233" s="139"/>
      <c r="G233" s="139"/>
      <c r="H233" s="201"/>
      <c r="I233" s="201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2.75">
      <c r="A234" s="139"/>
      <c r="B234" s="141"/>
      <c r="C234" s="139"/>
      <c r="D234" s="139"/>
      <c r="E234" s="200"/>
      <c r="F234" s="139"/>
      <c r="G234" s="139"/>
      <c r="H234" s="201"/>
      <c r="I234" s="201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2.75">
      <c r="A235" s="139"/>
      <c r="B235" s="141"/>
      <c r="C235" s="139"/>
      <c r="D235" s="139"/>
      <c r="E235" s="200"/>
      <c r="F235" s="139"/>
      <c r="G235" s="139"/>
      <c r="H235" s="201"/>
      <c r="I235" s="201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2.75">
      <c r="A236" s="139"/>
      <c r="B236" s="141"/>
      <c r="C236" s="139"/>
      <c r="D236" s="139"/>
      <c r="E236" s="200"/>
      <c r="F236" s="139"/>
      <c r="G236" s="139"/>
      <c r="H236" s="201"/>
      <c r="I236" s="201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2.75">
      <c r="A237" s="139"/>
      <c r="B237" s="141"/>
      <c r="C237" s="139"/>
      <c r="D237" s="139"/>
      <c r="E237" s="200"/>
      <c r="F237" s="139"/>
      <c r="G237" s="139"/>
      <c r="H237" s="201"/>
      <c r="I237" s="201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2.75">
      <c r="A238" s="139"/>
      <c r="B238" s="141"/>
      <c r="C238" s="139"/>
      <c r="D238" s="139"/>
      <c r="E238" s="200"/>
      <c r="F238" s="139"/>
      <c r="G238" s="139"/>
      <c r="H238" s="201"/>
      <c r="I238" s="201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2.75">
      <c r="A239" s="139"/>
      <c r="B239" s="141"/>
      <c r="C239" s="139"/>
      <c r="D239" s="139"/>
      <c r="E239" s="200"/>
      <c r="F239" s="139"/>
      <c r="G239" s="139"/>
      <c r="H239" s="201"/>
      <c r="I239" s="201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2.75">
      <c r="A240" s="139"/>
      <c r="B240" s="141"/>
      <c r="C240" s="139"/>
      <c r="D240" s="139"/>
      <c r="E240" s="200"/>
      <c r="F240" s="139"/>
      <c r="G240" s="139"/>
      <c r="H240" s="201"/>
      <c r="I240" s="20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2.75">
      <c r="A241" s="139"/>
      <c r="B241" s="141"/>
      <c r="C241" s="139"/>
      <c r="D241" s="139"/>
      <c r="E241" s="200"/>
      <c r="F241" s="139"/>
      <c r="G241" s="139"/>
      <c r="H241" s="201"/>
      <c r="I241" s="20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2.75">
      <c r="A242" s="139"/>
      <c r="B242" s="141"/>
      <c r="C242" s="139"/>
      <c r="D242" s="139"/>
      <c r="E242" s="200"/>
      <c r="F242" s="139"/>
      <c r="G242" s="139"/>
      <c r="H242" s="201"/>
      <c r="I242" s="20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2.75">
      <c r="A243" s="139"/>
      <c r="B243" s="141"/>
      <c r="C243" s="139"/>
      <c r="D243" s="139"/>
      <c r="E243" s="200"/>
      <c r="F243" s="139"/>
      <c r="G243" s="139"/>
      <c r="H243" s="201"/>
      <c r="I243" s="20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2.75">
      <c r="A244" s="139"/>
      <c r="B244" s="141"/>
      <c r="C244" s="139"/>
      <c r="D244" s="139"/>
      <c r="E244" s="200"/>
      <c r="F244" s="139"/>
      <c r="G244" s="139"/>
      <c r="H244" s="201"/>
      <c r="I244" s="20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2.75">
      <c r="A245" s="139"/>
      <c r="B245" s="141"/>
      <c r="C245" s="139"/>
      <c r="D245" s="139"/>
      <c r="E245" s="200"/>
      <c r="F245" s="139"/>
      <c r="G245" s="139"/>
      <c r="H245" s="201"/>
      <c r="I245" s="20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2.75">
      <c r="A246" s="139"/>
      <c r="B246" s="141"/>
      <c r="C246" s="139"/>
      <c r="D246" s="139"/>
      <c r="E246" s="200"/>
      <c r="F246" s="139"/>
      <c r="G246" s="139"/>
      <c r="H246" s="201"/>
      <c r="I246" s="20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2.75">
      <c r="A247" s="139"/>
      <c r="B247" s="141"/>
      <c r="C247" s="139"/>
      <c r="D247" s="139"/>
      <c r="E247" s="200"/>
      <c r="F247" s="139"/>
      <c r="G247" s="139"/>
      <c r="H247" s="201"/>
      <c r="I247" s="20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2.75">
      <c r="A248" s="139"/>
      <c r="B248" s="141"/>
      <c r="C248" s="139"/>
      <c r="D248" s="139"/>
      <c r="E248" s="200"/>
      <c r="F248" s="139"/>
      <c r="G248" s="139"/>
      <c r="H248" s="201"/>
      <c r="I248" s="20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2.75">
      <c r="A249" s="139"/>
      <c r="B249" s="141"/>
      <c r="C249" s="139"/>
      <c r="D249" s="139"/>
      <c r="E249" s="200"/>
      <c r="F249" s="139"/>
      <c r="G249" s="139"/>
      <c r="H249" s="201"/>
      <c r="I249" s="20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2.75">
      <c r="A250" s="139"/>
      <c r="B250" s="141"/>
      <c r="C250" s="139"/>
      <c r="D250" s="139"/>
      <c r="E250" s="200"/>
      <c r="F250" s="139"/>
      <c r="G250" s="139"/>
      <c r="H250" s="201"/>
      <c r="I250" s="20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2.75">
      <c r="A251" s="139"/>
      <c r="B251" s="141"/>
      <c r="C251" s="139"/>
      <c r="D251" s="139"/>
      <c r="E251" s="200"/>
      <c r="F251" s="139"/>
      <c r="G251" s="139"/>
      <c r="H251" s="201"/>
      <c r="I251" s="20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2.75">
      <c r="A252" s="139"/>
      <c r="B252" s="141"/>
      <c r="C252" s="139"/>
      <c r="D252" s="139"/>
      <c r="E252" s="200"/>
      <c r="F252" s="139"/>
      <c r="G252" s="139"/>
      <c r="H252" s="201"/>
      <c r="I252" s="20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5">
      <c r="A253" s="139"/>
      <c r="B253" s="141"/>
      <c r="C253" s="234"/>
      <c r="D253" s="139"/>
      <c r="E253" s="200"/>
      <c r="F253" s="139"/>
      <c r="G253" s="139"/>
      <c r="H253" s="201"/>
      <c r="I253" s="20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5">
      <c r="A254" s="139"/>
      <c r="B254" s="141"/>
      <c r="C254" s="97"/>
      <c r="D254" s="139"/>
      <c r="E254" s="200"/>
      <c r="F254" s="139"/>
      <c r="G254" s="139"/>
      <c r="H254" s="201"/>
      <c r="I254" s="20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2.75">
      <c r="A255" s="139"/>
      <c r="B255" s="141"/>
      <c r="C255" s="139"/>
      <c r="D255" s="139"/>
      <c r="E255" s="200"/>
      <c r="F255" s="139"/>
      <c r="G255" s="139"/>
      <c r="H255" s="201"/>
      <c r="I255" s="20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2.75">
      <c r="A256" s="139"/>
      <c r="B256" s="141"/>
      <c r="C256" s="139"/>
      <c r="D256" s="139"/>
      <c r="E256" s="200"/>
      <c r="F256" s="139"/>
      <c r="G256" s="139"/>
      <c r="H256" s="201"/>
      <c r="I256" s="20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2.75">
      <c r="A257" s="139"/>
      <c r="B257" s="141"/>
      <c r="C257" s="139"/>
      <c r="D257" s="139"/>
      <c r="E257" s="200"/>
      <c r="F257" s="139"/>
      <c r="G257" s="139"/>
      <c r="H257" s="201"/>
      <c r="I257" s="20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2.75">
      <c r="A258" s="139"/>
      <c r="B258" s="141"/>
      <c r="C258" s="139"/>
      <c r="D258" s="139"/>
      <c r="E258" s="200"/>
      <c r="F258" s="139"/>
      <c r="G258" s="139"/>
      <c r="H258" s="201"/>
      <c r="I258" s="20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2.75">
      <c r="A259" s="139"/>
      <c r="B259" s="141"/>
      <c r="C259" s="139"/>
      <c r="D259" s="139"/>
      <c r="E259" s="200"/>
      <c r="F259" s="139"/>
      <c r="G259" s="139"/>
      <c r="H259" s="201"/>
      <c r="I259" s="20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2.75">
      <c r="A260" s="139"/>
      <c r="B260" s="141"/>
      <c r="C260" s="139"/>
      <c r="D260" s="139"/>
      <c r="E260" s="200"/>
      <c r="F260" s="139"/>
      <c r="G260" s="139"/>
      <c r="H260" s="201"/>
      <c r="I260" s="20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2.75">
      <c r="A261" s="139"/>
      <c r="B261" s="141"/>
      <c r="C261" s="139"/>
      <c r="D261" s="139"/>
      <c r="E261" s="200"/>
      <c r="F261" s="139"/>
      <c r="G261" s="139"/>
      <c r="H261" s="201"/>
      <c r="I261" s="20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2.75">
      <c r="A262" s="139"/>
      <c r="B262" s="141"/>
      <c r="C262" s="139"/>
      <c r="D262" s="139"/>
      <c r="E262" s="143"/>
      <c r="F262" s="139"/>
      <c r="G262" s="139"/>
      <c r="H262" s="201"/>
      <c r="I262" s="20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2.75">
      <c r="A263" s="139"/>
      <c r="B263" s="141"/>
      <c r="C263" s="139"/>
      <c r="D263" s="139"/>
      <c r="E263" s="200"/>
      <c r="F263" s="139"/>
      <c r="G263" s="139"/>
      <c r="H263" s="201"/>
      <c r="I263" s="20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2.75">
      <c r="A264" s="139"/>
      <c r="B264" s="141"/>
      <c r="C264" s="139"/>
      <c r="D264" s="139"/>
      <c r="E264" s="200"/>
      <c r="F264" s="139"/>
      <c r="G264" s="139"/>
      <c r="H264" s="201"/>
      <c r="I264" s="20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2.75">
      <c r="A265" s="139"/>
      <c r="B265" s="141"/>
      <c r="C265" s="139"/>
      <c r="D265" s="139"/>
      <c r="E265" s="200"/>
      <c r="F265" s="139"/>
      <c r="G265" s="139"/>
      <c r="H265" s="201"/>
      <c r="I265" s="20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2.75">
      <c r="A266" s="139"/>
      <c r="B266" s="141"/>
      <c r="C266" s="139"/>
      <c r="D266" s="139"/>
      <c r="E266" s="200"/>
      <c r="F266" s="139"/>
      <c r="G266" s="139"/>
      <c r="H266" s="201"/>
      <c r="I266" s="20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2.75">
      <c r="A267" s="139"/>
      <c r="B267" s="141"/>
      <c r="C267" s="139"/>
      <c r="D267" s="139"/>
      <c r="E267" s="200"/>
      <c r="F267" s="139"/>
      <c r="G267" s="139"/>
      <c r="H267" s="201"/>
      <c r="I267" s="20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2.75">
      <c r="A268" s="139"/>
      <c r="B268" s="141"/>
      <c r="C268" s="139"/>
      <c r="D268" s="139"/>
      <c r="E268" s="200"/>
      <c r="F268" s="139"/>
      <c r="G268" s="139"/>
      <c r="H268" s="201"/>
      <c r="I268" s="20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2.75">
      <c r="A269" s="139"/>
      <c r="B269" s="141"/>
      <c r="C269" s="139"/>
      <c r="D269" s="139"/>
      <c r="E269" s="200"/>
      <c r="F269" s="139"/>
      <c r="G269" s="139"/>
      <c r="H269" s="201"/>
      <c r="I269" s="20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2.75">
      <c r="A270" s="139"/>
      <c r="B270" s="141"/>
      <c r="C270" s="139"/>
      <c r="D270" s="139"/>
      <c r="E270" s="200"/>
      <c r="F270" s="139"/>
      <c r="G270" s="139"/>
      <c r="H270" s="201"/>
      <c r="I270" s="20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2.75">
      <c r="A271" s="139"/>
      <c r="B271" s="141"/>
      <c r="C271" s="139"/>
      <c r="D271" s="139"/>
      <c r="E271" s="200"/>
      <c r="F271" s="139"/>
      <c r="G271" s="139"/>
      <c r="H271" s="201"/>
      <c r="I271" s="20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2.75">
      <c r="A272" s="139"/>
      <c r="B272" s="141"/>
      <c r="C272" s="139"/>
      <c r="D272" s="139"/>
      <c r="E272" s="200"/>
      <c r="F272" s="139"/>
      <c r="G272" s="139"/>
      <c r="H272" s="201"/>
      <c r="I272" s="20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2.75">
      <c r="A273" s="139"/>
      <c r="B273" s="141"/>
      <c r="C273" s="139"/>
      <c r="D273" s="139"/>
      <c r="E273" s="200"/>
      <c r="F273" s="139"/>
      <c r="G273" s="139"/>
      <c r="H273" s="201"/>
      <c r="I273" s="20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2.75">
      <c r="A274" s="139"/>
      <c r="B274" s="141"/>
      <c r="C274" s="139"/>
      <c r="D274" s="139"/>
      <c r="E274" s="200"/>
      <c r="F274" s="139"/>
      <c r="G274" s="139"/>
      <c r="H274" s="201"/>
      <c r="I274" s="20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2.75">
      <c r="A275" s="139"/>
      <c r="B275" s="141"/>
      <c r="C275" s="139"/>
      <c r="D275" s="139"/>
      <c r="E275" s="200"/>
      <c r="F275" s="139"/>
      <c r="G275" s="139"/>
      <c r="H275" s="201"/>
      <c r="I275" s="20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2.75">
      <c r="A276" s="139"/>
      <c r="B276" s="141"/>
      <c r="C276" s="139"/>
      <c r="D276" s="139"/>
      <c r="E276" s="200"/>
      <c r="F276" s="139"/>
      <c r="G276" s="139"/>
      <c r="H276" s="201"/>
      <c r="I276" s="20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2.75">
      <c r="A277" s="139"/>
      <c r="B277" s="141"/>
      <c r="C277" s="139"/>
      <c r="D277" s="139"/>
      <c r="E277" s="200"/>
      <c r="F277" s="139"/>
      <c r="G277" s="139"/>
      <c r="H277" s="201"/>
      <c r="I277" s="20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2.75">
      <c r="A278" s="139"/>
      <c r="B278" s="141"/>
      <c r="C278" s="139"/>
      <c r="D278" s="139"/>
      <c r="E278" s="200"/>
      <c r="F278" s="139"/>
      <c r="G278" s="139"/>
      <c r="H278" s="201"/>
      <c r="I278" s="20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2.75">
      <c r="A279" s="139"/>
      <c r="B279" s="141"/>
      <c r="C279" s="139"/>
      <c r="D279" s="139"/>
      <c r="E279" s="200"/>
      <c r="F279" s="139"/>
      <c r="G279" s="139"/>
      <c r="H279" s="201"/>
      <c r="I279" s="20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2.75">
      <c r="A280" s="139"/>
      <c r="B280" s="141"/>
      <c r="C280" s="139"/>
      <c r="D280" s="139"/>
      <c r="E280" s="200"/>
      <c r="F280" s="139"/>
      <c r="G280" s="139"/>
      <c r="H280" s="201"/>
      <c r="I280" s="20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2.75">
      <c r="A281" s="139"/>
      <c r="B281" s="141"/>
      <c r="C281" s="139"/>
      <c r="D281" s="139"/>
      <c r="E281" s="200"/>
      <c r="F281" s="139"/>
      <c r="G281" s="139"/>
      <c r="H281" s="201"/>
      <c r="I281" s="20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2.75">
      <c r="A282" s="139"/>
      <c r="B282" s="141"/>
      <c r="C282" s="139"/>
      <c r="D282" s="139"/>
      <c r="E282" s="200"/>
      <c r="F282" s="139"/>
      <c r="G282" s="139"/>
      <c r="H282" s="201"/>
      <c r="I282" s="20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2.75">
      <c r="A283" s="139"/>
      <c r="B283" s="141"/>
      <c r="C283" s="139"/>
      <c r="D283" s="139"/>
      <c r="E283" s="200"/>
      <c r="F283" s="139"/>
      <c r="G283" s="139"/>
      <c r="H283" s="201"/>
      <c r="I283" s="20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2.75">
      <c r="A284" s="139"/>
      <c r="B284" s="141"/>
      <c r="C284" s="139"/>
      <c r="D284" s="139"/>
      <c r="E284" s="200"/>
      <c r="F284" s="139"/>
      <c r="G284" s="139"/>
      <c r="H284" s="201"/>
      <c r="I284" s="20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2.75">
      <c r="A285" s="139"/>
      <c r="B285" s="141"/>
      <c r="C285" s="139"/>
      <c r="D285" s="139"/>
      <c r="E285" s="200"/>
      <c r="F285" s="139"/>
      <c r="G285" s="139"/>
      <c r="H285" s="201"/>
      <c r="I285" s="20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2.75">
      <c r="A286" s="139"/>
      <c r="B286" s="141"/>
      <c r="C286" s="139"/>
      <c r="D286" s="139"/>
      <c r="E286" s="200"/>
      <c r="F286" s="139"/>
      <c r="G286" s="139"/>
      <c r="H286" s="201"/>
      <c r="I286" s="20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2.75">
      <c r="A287" s="139"/>
      <c r="B287" s="141"/>
      <c r="C287" s="139"/>
      <c r="D287" s="139"/>
      <c r="E287" s="200"/>
      <c r="F287" s="139"/>
      <c r="G287" s="139"/>
      <c r="H287" s="201"/>
      <c r="I287" s="20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2.75">
      <c r="A288" s="139"/>
      <c r="B288" s="141"/>
      <c r="C288" s="139"/>
      <c r="D288" s="139"/>
      <c r="E288" s="200"/>
      <c r="F288" s="139"/>
      <c r="G288" s="139"/>
      <c r="H288" s="201"/>
      <c r="I288" s="20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2.75">
      <c r="A289" s="139"/>
      <c r="B289" s="141"/>
      <c r="C289" s="139"/>
      <c r="D289" s="139"/>
      <c r="E289" s="200"/>
      <c r="F289" s="139"/>
      <c r="G289" s="139"/>
      <c r="H289" s="201"/>
      <c r="I289" s="20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2.75">
      <c r="A290" s="139"/>
      <c r="B290" s="141"/>
      <c r="C290" s="139"/>
      <c r="D290" s="139"/>
      <c r="E290" s="200"/>
      <c r="F290" s="139"/>
      <c r="G290" s="139"/>
      <c r="H290" s="201"/>
      <c r="I290" s="20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2.75">
      <c r="A291" s="139"/>
      <c r="B291" s="141"/>
      <c r="C291" s="139"/>
      <c r="D291" s="139"/>
      <c r="E291" s="200"/>
      <c r="F291" s="139"/>
      <c r="G291" s="139"/>
      <c r="H291" s="201"/>
      <c r="I291" s="20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2.75">
      <c r="A292" s="139"/>
      <c r="B292" s="141"/>
      <c r="C292" s="63"/>
      <c r="D292" s="139"/>
      <c r="E292" s="200"/>
      <c r="F292" s="139"/>
      <c r="G292" s="139"/>
      <c r="H292" s="201"/>
      <c r="I292" s="20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2.75">
      <c r="A293" s="139"/>
      <c r="B293" s="141"/>
      <c r="C293" s="139"/>
      <c r="D293" s="139"/>
      <c r="E293" s="200"/>
      <c r="F293" s="139"/>
      <c r="G293" s="139"/>
      <c r="H293" s="201"/>
      <c r="I293" s="20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2.75">
      <c r="A294" s="139"/>
      <c r="B294" s="141"/>
      <c r="C294" s="139"/>
      <c r="D294" s="139"/>
      <c r="E294" s="200"/>
      <c r="F294" s="139"/>
      <c r="G294" s="139"/>
      <c r="H294" s="201"/>
      <c r="I294" s="20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2.75">
      <c r="A295" s="139"/>
      <c r="B295" s="141"/>
      <c r="C295" s="139"/>
      <c r="D295" s="139"/>
      <c r="E295" s="200"/>
      <c r="F295" s="139"/>
      <c r="G295" s="139"/>
      <c r="H295" s="201"/>
      <c r="I295" s="20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2.75">
      <c r="A296" s="139"/>
      <c r="B296" s="141"/>
      <c r="C296" s="139"/>
      <c r="D296" s="139"/>
      <c r="E296" s="200"/>
      <c r="F296" s="139"/>
      <c r="G296" s="139"/>
      <c r="H296" s="201"/>
      <c r="I296" s="20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2.75">
      <c r="A297" s="139"/>
      <c r="B297" s="141"/>
      <c r="C297" s="139"/>
      <c r="D297" s="139"/>
      <c r="E297" s="200"/>
      <c r="F297" s="139"/>
      <c r="G297" s="139"/>
      <c r="H297" s="201"/>
      <c r="I297" s="20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2.75">
      <c r="A298" s="139"/>
      <c r="B298" s="141"/>
      <c r="C298" s="139"/>
      <c r="D298" s="139"/>
      <c r="E298" s="200"/>
      <c r="F298" s="139"/>
      <c r="G298" s="139"/>
      <c r="H298" s="201"/>
      <c r="I298" s="20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2.75">
      <c r="A299" s="139"/>
      <c r="B299" s="141"/>
      <c r="C299" s="139"/>
      <c r="D299" s="139"/>
      <c r="E299" s="200"/>
      <c r="F299" s="139"/>
      <c r="G299" s="139"/>
      <c r="H299" s="201"/>
      <c r="I299" s="20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2.75">
      <c r="A300" s="139"/>
      <c r="B300" s="141"/>
      <c r="C300" s="139"/>
      <c r="D300" s="139"/>
      <c r="E300" s="200"/>
      <c r="F300" s="139"/>
      <c r="G300" s="139"/>
      <c r="H300" s="201"/>
      <c r="I300" s="20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2.75">
      <c r="A301" s="139"/>
      <c r="B301" s="141"/>
      <c r="C301" s="139"/>
      <c r="D301" s="139"/>
      <c r="E301" s="200"/>
      <c r="F301" s="139"/>
      <c r="G301" s="139"/>
      <c r="H301" s="201"/>
      <c r="I301" s="20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2.75">
      <c r="A302" s="139"/>
      <c r="B302" s="141"/>
      <c r="C302" s="139"/>
      <c r="D302" s="139"/>
      <c r="E302" s="200"/>
      <c r="F302" s="139"/>
      <c r="G302" s="139"/>
      <c r="H302" s="201"/>
      <c r="I302" s="20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2.75">
      <c r="A303" s="139"/>
      <c r="B303" s="141"/>
      <c r="C303" s="139"/>
      <c r="D303" s="139"/>
      <c r="E303" s="200"/>
      <c r="F303" s="139"/>
      <c r="G303" s="139"/>
      <c r="H303" s="201"/>
      <c r="I303" s="20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2.75">
      <c r="A304" s="139"/>
      <c r="B304" s="141"/>
      <c r="C304" s="139"/>
      <c r="D304" s="139"/>
      <c r="E304" s="200"/>
      <c r="F304" s="139"/>
      <c r="G304" s="139"/>
      <c r="H304" s="201"/>
      <c r="I304" s="20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2.75">
      <c r="A305" s="139"/>
      <c r="B305" s="141"/>
      <c r="C305" s="139"/>
      <c r="D305" s="139"/>
      <c r="E305" s="200"/>
      <c r="F305" s="139"/>
      <c r="G305" s="139"/>
      <c r="H305" s="201"/>
      <c r="I305" s="20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2.75">
      <c r="A306" s="139"/>
      <c r="B306" s="141"/>
      <c r="C306" s="139"/>
      <c r="D306" s="139"/>
      <c r="E306" s="200"/>
      <c r="F306" s="139"/>
      <c r="G306" s="139"/>
      <c r="H306" s="201"/>
      <c r="I306" s="20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2.75">
      <c r="A307" s="139"/>
      <c r="B307" s="141"/>
      <c r="C307" s="139"/>
      <c r="D307" s="139"/>
      <c r="E307" s="200"/>
      <c r="F307" s="139"/>
      <c r="G307" s="139"/>
      <c r="H307" s="201"/>
      <c r="I307" s="20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2.75">
      <c r="A308" s="139"/>
      <c r="B308" s="141"/>
      <c r="C308" s="139"/>
      <c r="D308" s="139"/>
      <c r="E308" s="200"/>
      <c r="F308" s="139"/>
      <c r="G308" s="139"/>
      <c r="H308" s="201"/>
      <c r="I308" s="20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2.75">
      <c r="A309" s="139"/>
      <c r="B309" s="141"/>
      <c r="C309" s="139"/>
      <c r="D309" s="139"/>
      <c r="E309" s="200"/>
      <c r="F309" s="139"/>
      <c r="G309" s="139"/>
      <c r="H309" s="201"/>
      <c r="I309" s="20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2.75">
      <c r="A310" s="139"/>
      <c r="B310" s="141"/>
      <c r="C310" s="139"/>
      <c r="D310" s="139"/>
      <c r="E310" s="200"/>
      <c r="F310" s="139"/>
      <c r="G310" s="139"/>
      <c r="H310" s="201"/>
      <c r="I310" s="20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2.75">
      <c r="A311" s="139"/>
      <c r="B311" s="141"/>
      <c r="C311" s="139"/>
      <c r="D311" s="139"/>
      <c r="E311" s="200"/>
      <c r="F311" s="139"/>
      <c r="G311" s="139"/>
      <c r="H311" s="201"/>
      <c r="I311" s="20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2.75">
      <c r="A312" s="139"/>
      <c r="B312" s="141"/>
      <c r="C312" s="139"/>
      <c r="D312" s="139"/>
      <c r="E312" s="200"/>
      <c r="F312" s="139"/>
      <c r="G312" s="139"/>
      <c r="H312" s="201"/>
      <c r="I312" s="20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2.75">
      <c r="A313" s="139"/>
      <c r="B313" s="141"/>
      <c r="C313" s="139"/>
      <c r="D313" s="139"/>
      <c r="E313" s="200"/>
      <c r="F313" s="139"/>
      <c r="G313" s="139"/>
      <c r="H313" s="201"/>
      <c r="I313" s="20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2.75">
      <c r="A314" s="139"/>
      <c r="B314" s="141"/>
      <c r="C314" s="139"/>
      <c r="D314" s="139"/>
      <c r="E314" s="200"/>
      <c r="F314" s="139"/>
      <c r="G314" s="139"/>
      <c r="H314" s="201"/>
      <c r="I314" s="20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2.75">
      <c r="A315" s="139"/>
      <c r="B315" s="141"/>
      <c r="C315" s="139"/>
      <c r="D315" s="139"/>
      <c r="E315" s="200"/>
      <c r="F315" s="139"/>
      <c r="G315" s="139"/>
      <c r="H315" s="201"/>
      <c r="I315" s="20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2.75">
      <c r="A316" s="139"/>
      <c r="B316" s="141"/>
      <c r="C316" s="139"/>
      <c r="D316" s="139"/>
      <c r="E316" s="200"/>
      <c r="F316" s="139"/>
      <c r="G316" s="139"/>
      <c r="H316" s="201"/>
      <c r="I316" s="20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2.75">
      <c r="A317" s="139"/>
      <c r="B317" s="141"/>
      <c r="C317" s="139"/>
      <c r="D317" s="139"/>
      <c r="E317" s="200"/>
      <c r="F317" s="139"/>
      <c r="G317" s="139"/>
      <c r="H317" s="201"/>
      <c r="I317" s="20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2.75">
      <c r="A318" s="139"/>
      <c r="B318" s="141"/>
      <c r="C318" s="139"/>
      <c r="D318" s="139"/>
      <c r="E318" s="200"/>
      <c r="F318" s="139"/>
      <c r="G318" s="139"/>
      <c r="H318" s="201"/>
      <c r="I318" s="20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2.75">
      <c r="A319" s="139"/>
      <c r="B319" s="141"/>
      <c r="C319" s="139"/>
      <c r="D319" s="139"/>
      <c r="E319" s="200"/>
      <c r="F319" s="139"/>
      <c r="G319" s="139"/>
      <c r="H319" s="201"/>
      <c r="I319" s="20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2.75">
      <c r="A320" s="139"/>
      <c r="B320" s="141"/>
      <c r="C320" s="139"/>
      <c r="D320" s="139"/>
      <c r="E320" s="200"/>
      <c r="F320" s="139"/>
      <c r="G320" s="139"/>
      <c r="H320" s="201"/>
      <c r="I320" s="20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2.75">
      <c r="A321" s="139"/>
      <c r="B321" s="141"/>
      <c r="C321" s="139"/>
      <c r="D321" s="139"/>
      <c r="E321" s="200"/>
      <c r="F321" s="139"/>
      <c r="G321" s="139"/>
      <c r="H321" s="201"/>
      <c r="I321" s="20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2.75">
      <c r="A322" s="139"/>
      <c r="B322" s="141"/>
      <c r="C322" s="139"/>
      <c r="D322" s="139"/>
      <c r="E322" s="200"/>
      <c r="F322" s="139"/>
      <c r="G322" s="139"/>
      <c r="H322" s="201"/>
      <c r="I322" s="20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2.75">
      <c r="A323" s="139"/>
      <c r="B323" s="141"/>
      <c r="C323" s="139"/>
      <c r="D323" s="139"/>
      <c r="E323" s="200"/>
      <c r="F323" s="139"/>
      <c r="G323" s="139"/>
      <c r="H323" s="201"/>
      <c r="I323" s="20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2.75">
      <c r="A324" s="139"/>
      <c r="B324" s="141"/>
      <c r="C324" s="139"/>
      <c r="D324" s="139"/>
      <c r="E324" s="200"/>
      <c r="F324" s="139"/>
      <c r="G324" s="139"/>
      <c r="H324" s="201"/>
      <c r="I324" s="20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2.75">
      <c r="A325" s="139"/>
      <c r="B325" s="141"/>
      <c r="C325" s="139"/>
      <c r="D325" s="139"/>
      <c r="E325" s="200"/>
      <c r="F325" s="139"/>
      <c r="G325" s="139"/>
      <c r="H325" s="201"/>
      <c r="I325" s="20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2.75">
      <c r="A326" s="139"/>
      <c r="B326" s="141"/>
      <c r="C326" s="139"/>
      <c r="D326" s="139"/>
      <c r="E326" s="200"/>
      <c r="F326" s="139"/>
      <c r="G326" s="139"/>
      <c r="H326" s="201"/>
      <c r="I326" s="20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2.75">
      <c r="A327" s="139"/>
      <c r="B327" s="141"/>
      <c r="C327" s="139"/>
      <c r="D327" s="139"/>
      <c r="E327" s="200"/>
      <c r="F327" s="139"/>
      <c r="G327" s="139"/>
      <c r="H327" s="201"/>
      <c r="I327" s="20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2.75">
      <c r="A328" s="139"/>
      <c r="B328" s="141"/>
      <c r="C328" s="139"/>
      <c r="D328" s="139"/>
      <c r="E328" s="143"/>
      <c r="F328" s="139"/>
      <c r="G328" s="139"/>
      <c r="H328" s="201"/>
      <c r="I328" s="20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2.75">
      <c r="A329" s="139"/>
      <c r="B329" s="141"/>
      <c r="C329" s="139"/>
      <c r="D329" s="139"/>
      <c r="E329" s="200"/>
      <c r="F329" s="139"/>
      <c r="G329" s="139"/>
      <c r="H329" s="201"/>
      <c r="I329" s="20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2.75">
      <c r="A330" s="139"/>
      <c r="B330" s="141"/>
      <c r="C330" s="139"/>
      <c r="D330" s="139"/>
      <c r="E330" s="200"/>
      <c r="F330" s="139"/>
      <c r="G330" s="139"/>
      <c r="H330" s="201"/>
      <c r="I330" s="20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2.75">
      <c r="A331" s="139"/>
      <c r="B331" s="141"/>
      <c r="C331" s="139"/>
      <c r="D331" s="139"/>
      <c r="E331" s="200"/>
      <c r="F331" s="139"/>
      <c r="G331" s="139"/>
      <c r="H331" s="201"/>
      <c r="I331" s="20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2.75">
      <c r="A332" s="139"/>
      <c r="B332" s="141"/>
      <c r="C332" s="139"/>
      <c r="D332" s="139"/>
      <c r="E332" s="200"/>
      <c r="F332" s="139"/>
      <c r="G332" s="139"/>
      <c r="H332" s="201"/>
      <c r="I332" s="20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2.75">
      <c r="A333" s="139"/>
      <c r="B333" s="141"/>
      <c r="C333" s="139"/>
      <c r="D333" s="139"/>
      <c r="E333" s="200"/>
      <c r="F333" s="139"/>
      <c r="G333" s="139"/>
      <c r="H333" s="201"/>
      <c r="I333" s="20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2.75">
      <c r="A334" s="139"/>
      <c r="B334" s="141"/>
      <c r="C334" s="139"/>
      <c r="D334" s="139"/>
      <c r="E334" s="200"/>
      <c r="F334" s="139"/>
      <c r="G334" s="139"/>
      <c r="H334" s="201"/>
      <c r="I334" s="20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</sheetData>
  <mergeCells count="4">
    <mergeCell ref="E28:F28"/>
    <mergeCell ref="E72:F72"/>
    <mergeCell ref="E112:F112"/>
    <mergeCell ref="E159:F159"/>
  </mergeCells>
  <conditionalFormatting sqref="G2:G8 I2:I8">
    <cfRule type="notContainsBlanks" dxfId="1" priority="1">
      <formula>LEN(TRIM(G2))&gt;0</formula>
    </cfRule>
  </conditionalFormatting>
  <pageMargins left="0.511811024" right="0.511811024" top="0.78740157499999996" bottom="0.78740157499999996" header="0.31496062000000002" footer="0.31496062000000002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D206"/>
  <sheetViews>
    <sheetView tabSelected="1" topLeftCell="A202" workbookViewId="0"/>
  </sheetViews>
  <sheetFormatPr defaultColWidth="12.5703125" defaultRowHeight="15.75" customHeight="1"/>
  <cols>
    <col min="1" max="1" width="72.7109375" customWidth="1"/>
    <col min="2" max="2" width="23" customWidth="1"/>
    <col min="3" max="3" width="16.42578125" customWidth="1"/>
    <col min="4" max="4" width="15.28515625" customWidth="1"/>
    <col min="5" max="5" width="16.5703125" customWidth="1"/>
    <col min="6" max="6" width="15" customWidth="1"/>
    <col min="7" max="7" width="16" customWidth="1"/>
    <col min="8" max="8" width="15.42578125" customWidth="1"/>
    <col min="9" max="9" width="15.7109375" customWidth="1"/>
    <col min="10" max="10" width="14.7109375" customWidth="1"/>
    <col min="11" max="11" width="13.28515625" customWidth="1"/>
    <col min="12" max="12" width="28" customWidth="1"/>
    <col min="13" max="13" width="15" customWidth="1"/>
    <col min="14" max="14" width="14" customWidth="1"/>
    <col min="15" max="15" width="14.85546875" customWidth="1"/>
  </cols>
  <sheetData>
    <row r="1" spans="1:27" ht="26.25">
      <c r="A1" s="4" t="s">
        <v>1660</v>
      </c>
      <c r="B1" s="5" t="s">
        <v>1591</v>
      </c>
      <c r="C1" s="5" t="s">
        <v>1086</v>
      </c>
      <c r="D1" s="5" t="s">
        <v>1087</v>
      </c>
      <c r="E1" s="5" t="s">
        <v>1088</v>
      </c>
      <c r="F1" s="5" t="s">
        <v>1089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ht="17.25" customHeight="1">
      <c r="A2" s="8" t="s">
        <v>1592</v>
      </c>
      <c r="B2" s="212">
        <v>3.0983796296296297E-2</v>
      </c>
      <c r="C2" s="212">
        <v>3.5011574074074077E-2</v>
      </c>
      <c r="D2" s="212">
        <v>3.5729166666666666E-2</v>
      </c>
      <c r="E2" s="212">
        <v>3.1458333333333331E-2</v>
      </c>
      <c r="F2" s="212">
        <v>2.7025462962962963E-2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7">
      <c r="A3" s="8" t="s">
        <v>1593</v>
      </c>
      <c r="B3" s="212">
        <v>1.4583333333333334E-3</v>
      </c>
      <c r="C3" s="212">
        <v>2.0601851851851853E-3</v>
      </c>
      <c r="D3" s="212">
        <v>2.5231481481481481E-3</v>
      </c>
      <c r="E3" s="212">
        <v>1.6087962962962963E-3</v>
      </c>
      <c r="F3" s="212">
        <v>1.7476851851851852E-3</v>
      </c>
      <c r="G3" s="7"/>
      <c r="H3" s="7"/>
      <c r="I3" s="7"/>
      <c r="J3" s="7"/>
      <c r="K3" s="7"/>
      <c r="L3" s="48" t="s">
        <v>50</v>
      </c>
      <c r="M3" s="7" t="s">
        <v>51</v>
      </c>
      <c r="N3" s="7"/>
      <c r="O3" s="7"/>
      <c r="P3" s="48"/>
      <c r="Q3" s="7"/>
      <c r="R3" s="7"/>
      <c r="S3" s="7"/>
      <c r="T3" s="7"/>
      <c r="U3" s="7"/>
      <c r="V3" s="7"/>
      <c r="W3" s="7"/>
      <c r="X3" s="7"/>
    </row>
    <row r="4" spans="1:27">
      <c r="A4" s="8" t="s">
        <v>1594</v>
      </c>
      <c r="B4" s="212">
        <v>2.7893518518518519E-3</v>
      </c>
      <c r="C4" s="212">
        <v>3.3796296296296296E-3</v>
      </c>
      <c r="D4" s="212">
        <v>3.6111111111111109E-3</v>
      </c>
      <c r="E4" s="212">
        <v>3.1712962962962962E-3</v>
      </c>
      <c r="F4" s="212">
        <v>3.0439814814814813E-3</v>
      </c>
      <c r="G4" s="7"/>
      <c r="H4" s="7"/>
      <c r="I4" s="7"/>
      <c r="J4" s="7"/>
      <c r="K4" s="7"/>
      <c r="L4" s="49" t="s">
        <v>53</v>
      </c>
      <c r="M4" s="7" t="s">
        <v>54</v>
      </c>
      <c r="N4" s="7"/>
      <c r="O4" s="7"/>
      <c r="P4" s="49"/>
      <c r="Q4" s="7"/>
      <c r="R4" s="7"/>
      <c r="S4" s="7"/>
      <c r="T4" s="7"/>
      <c r="U4" s="7"/>
      <c r="V4" s="7"/>
      <c r="W4" s="7"/>
      <c r="X4" s="7"/>
    </row>
    <row r="5" spans="1:27">
      <c r="A5" s="8" t="s">
        <v>1595</v>
      </c>
      <c r="B5" s="117">
        <v>9841</v>
      </c>
      <c r="C5" s="117">
        <v>7049</v>
      </c>
      <c r="D5" s="117">
        <v>8025</v>
      </c>
      <c r="E5" s="117">
        <v>9777</v>
      </c>
      <c r="F5" s="117">
        <v>6284</v>
      </c>
      <c r="G5" s="7"/>
      <c r="H5" s="7"/>
      <c r="I5" s="7"/>
      <c r="J5" s="7"/>
      <c r="K5" s="7"/>
      <c r="L5" s="52"/>
      <c r="M5" s="7"/>
      <c r="N5" s="7"/>
      <c r="O5" s="7"/>
      <c r="P5" s="52"/>
      <c r="Q5" s="7"/>
      <c r="R5" s="7"/>
      <c r="S5" s="7"/>
      <c r="T5" s="7"/>
      <c r="U5" s="7"/>
      <c r="V5" s="7"/>
      <c r="W5" s="7"/>
      <c r="X5" s="7"/>
    </row>
    <row r="6" spans="1:27">
      <c r="A6" s="8" t="s">
        <v>1596</v>
      </c>
      <c r="B6" s="92" t="s">
        <v>1468</v>
      </c>
      <c r="C6" s="92" t="s">
        <v>1310</v>
      </c>
      <c r="D6" s="92" t="s">
        <v>1597</v>
      </c>
      <c r="E6" s="92" t="s">
        <v>1597</v>
      </c>
      <c r="F6" s="92" t="s">
        <v>1598</v>
      </c>
      <c r="G6" s="7"/>
      <c r="H6" s="7"/>
      <c r="I6" s="7"/>
      <c r="J6" s="7"/>
      <c r="K6" s="7"/>
      <c r="L6" s="52" t="s">
        <v>56</v>
      </c>
      <c r="M6" s="7" t="s">
        <v>57</v>
      </c>
      <c r="N6" s="7"/>
      <c r="O6" s="7"/>
      <c r="P6" s="52"/>
      <c r="Q6" s="7"/>
      <c r="R6" s="7"/>
      <c r="S6" s="7"/>
      <c r="T6" s="7"/>
      <c r="U6" s="7"/>
      <c r="V6" s="7"/>
      <c r="W6" s="7"/>
      <c r="X6" s="7"/>
    </row>
    <row r="7" spans="1:27">
      <c r="A7" s="8" t="s">
        <v>1599</v>
      </c>
      <c r="B7" s="216">
        <v>0.99</v>
      </c>
      <c r="C7" s="216">
        <v>0.97</v>
      </c>
      <c r="D7" s="216">
        <v>0.9768</v>
      </c>
      <c r="E7" s="216">
        <v>0.99</v>
      </c>
      <c r="F7" s="216">
        <v>0.99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7">
      <c r="A8" s="8" t="s">
        <v>1600</v>
      </c>
      <c r="B8" s="117">
        <v>405</v>
      </c>
      <c r="C8" s="92">
        <v>404</v>
      </c>
      <c r="D8" s="92">
        <v>409</v>
      </c>
      <c r="E8" s="117">
        <v>404</v>
      </c>
      <c r="F8" s="117">
        <v>495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7">
      <c r="A9" s="8" t="s">
        <v>1601</v>
      </c>
      <c r="B9" s="117">
        <v>627</v>
      </c>
      <c r="C9" s="92">
        <v>534</v>
      </c>
      <c r="D9" s="117">
        <v>566</v>
      </c>
      <c r="E9" s="92">
        <v>612</v>
      </c>
      <c r="F9" s="92">
        <v>569</v>
      </c>
      <c r="G9" s="7"/>
      <c r="H9" s="7"/>
      <c r="I9" s="7"/>
      <c r="J9" s="7"/>
      <c r="K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7">
      <c r="A10" s="8" t="s">
        <v>1602</v>
      </c>
      <c r="B10" s="117">
        <v>1636</v>
      </c>
      <c r="C10" s="117">
        <v>2104</v>
      </c>
      <c r="D10" s="117">
        <v>1768</v>
      </c>
      <c r="E10" s="117">
        <v>2138</v>
      </c>
      <c r="F10" s="119" t="s">
        <v>1603</v>
      </c>
      <c r="G10" s="7"/>
      <c r="H10" s="7"/>
      <c r="I10" s="7"/>
      <c r="J10" s="7"/>
      <c r="K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7">
      <c r="A11" s="8" t="s">
        <v>1604</v>
      </c>
      <c r="B11" s="117">
        <v>2263</v>
      </c>
      <c r="C11" s="117">
        <v>2638</v>
      </c>
      <c r="D11" s="117">
        <v>2334</v>
      </c>
      <c r="E11" s="117">
        <v>2750</v>
      </c>
      <c r="F11" s="119" t="s">
        <v>1605</v>
      </c>
      <c r="G11" s="7"/>
      <c r="H11" s="7"/>
      <c r="I11" s="7"/>
      <c r="J11" s="7"/>
      <c r="K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7">
      <c r="A12" s="8" t="s">
        <v>1606</v>
      </c>
      <c r="B12" s="92">
        <v>48</v>
      </c>
      <c r="C12" s="92">
        <v>59</v>
      </c>
      <c r="D12" s="92">
        <v>175</v>
      </c>
      <c r="E12" s="92">
        <v>89</v>
      </c>
      <c r="F12" s="92">
        <v>85</v>
      </c>
      <c r="G12" s="7"/>
      <c r="H12" s="7"/>
      <c r="I12" s="7"/>
      <c r="J12" s="7"/>
      <c r="K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7">
      <c r="A13" s="8" t="s">
        <v>1607</v>
      </c>
      <c r="B13" s="119" t="s">
        <v>1521</v>
      </c>
      <c r="C13" s="216">
        <v>0.98</v>
      </c>
      <c r="D13" s="216">
        <v>0.98</v>
      </c>
      <c r="E13" s="119" t="s">
        <v>1521</v>
      </c>
      <c r="F13" s="216">
        <v>0.99</v>
      </c>
      <c r="G13" s="7"/>
      <c r="H13" s="7"/>
      <c r="I13" s="7"/>
      <c r="J13" s="7"/>
      <c r="K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7" ht="15">
      <c r="A14" s="8" t="s">
        <v>74</v>
      </c>
      <c r="B14" s="119" t="s">
        <v>1525</v>
      </c>
      <c r="C14" s="119" t="s">
        <v>1608</v>
      </c>
      <c r="D14" s="119" t="s">
        <v>1609</v>
      </c>
      <c r="E14" s="119" t="s">
        <v>1610</v>
      </c>
      <c r="F14" s="235">
        <v>3.1E-2</v>
      </c>
      <c r="G14" s="7"/>
      <c r="H14" s="7"/>
      <c r="I14" s="7"/>
      <c r="J14" s="7"/>
      <c r="K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7">
      <c r="A15" s="8" t="s">
        <v>1611</v>
      </c>
      <c r="B15" s="119" t="s">
        <v>1531</v>
      </c>
      <c r="C15" s="119" t="s">
        <v>1612</v>
      </c>
      <c r="D15" s="119" t="s">
        <v>1613</v>
      </c>
      <c r="E15" s="119" t="s">
        <v>1614</v>
      </c>
      <c r="F15" s="119" t="s">
        <v>1615</v>
      </c>
      <c r="G15" s="7"/>
      <c r="H15" s="7"/>
      <c r="I15" s="7"/>
      <c r="J15" s="7"/>
      <c r="K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7" ht="12.75"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30" ht="12.75"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30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26.25">
      <c r="A19" s="4" t="s">
        <v>1661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>
      <c r="A20" s="16" t="s">
        <v>77</v>
      </c>
      <c r="B20" s="101" t="s">
        <v>1138</v>
      </c>
      <c r="C20" s="81" t="s">
        <v>32</v>
      </c>
      <c r="D20" s="81" t="s">
        <v>33</v>
      </c>
      <c r="E20" s="81" t="s">
        <v>34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2.75">
      <c r="A21" s="31" t="s">
        <v>28</v>
      </c>
      <c r="B21" s="81">
        <v>0</v>
      </c>
      <c r="C21" s="81">
        <v>0</v>
      </c>
      <c r="D21" s="81">
        <v>46</v>
      </c>
      <c r="E21" s="81">
        <v>8</v>
      </c>
      <c r="G21" s="1"/>
      <c r="H21" s="1"/>
      <c r="I21" s="1"/>
      <c r="J21" s="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2.75">
      <c r="A22" s="20" t="s">
        <v>22</v>
      </c>
      <c r="B22" s="81">
        <v>28</v>
      </c>
      <c r="C22" s="21">
        <v>13</v>
      </c>
      <c r="D22" s="21">
        <v>87</v>
      </c>
      <c r="E22" s="21">
        <v>37</v>
      </c>
      <c r="G22" s="1"/>
      <c r="H22" s="1"/>
      <c r="I22" s="1"/>
      <c r="J22" s="1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2.75">
      <c r="A23" s="20" t="s">
        <v>25</v>
      </c>
      <c r="B23" s="21">
        <v>0</v>
      </c>
      <c r="C23" s="21">
        <v>0</v>
      </c>
      <c r="D23" s="21">
        <v>0</v>
      </c>
      <c r="E23" s="21">
        <v>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2.75">
      <c r="A24" s="20" t="s">
        <v>18</v>
      </c>
      <c r="B24" s="26">
        <v>0</v>
      </c>
      <c r="C24" s="233">
        <v>0</v>
      </c>
      <c r="D24" s="26">
        <v>0</v>
      </c>
      <c r="E24" s="26">
        <v>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2.75">
      <c r="A25" s="20" t="s">
        <v>12</v>
      </c>
      <c r="B25" s="21">
        <v>0</v>
      </c>
      <c r="C25" s="21">
        <v>1</v>
      </c>
      <c r="D25" s="21">
        <v>43</v>
      </c>
      <c r="E25" s="21">
        <v>3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2.75">
      <c r="A26" s="20" t="s">
        <v>209</v>
      </c>
      <c r="B26" s="26">
        <v>23</v>
      </c>
      <c r="C26" s="29">
        <v>11</v>
      </c>
      <c r="D26" s="33">
        <v>52</v>
      </c>
      <c r="E26" s="21">
        <v>5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2.75">
      <c r="A27" s="20" t="s">
        <v>519</v>
      </c>
      <c r="B27" s="29">
        <v>0</v>
      </c>
      <c r="C27" s="29">
        <v>3</v>
      </c>
      <c r="D27" s="33">
        <v>44</v>
      </c>
      <c r="E27" s="21">
        <v>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>
      <c r="A28" s="16" t="s">
        <v>80</v>
      </c>
      <c r="B28" s="17" t="s">
        <v>1140</v>
      </c>
      <c r="C28" s="17" t="s">
        <v>1141</v>
      </c>
      <c r="D28" s="101" t="s">
        <v>32</v>
      </c>
      <c r="E28" s="240" t="s">
        <v>1143</v>
      </c>
      <c r="F28" s="241"/>
      <c r="G28" s="101" t="s">
        <v>1465</v>
      </c>
      <c r="H28" s="101" t="s">
        <v>31</v>
      </c>
      <c r="I28" s="81" t="s">
        <v>1144</v>
      </c>
      <c r="J28" s="81" t="s">
        <v>35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2.75">
      <c r="A29" s="202" t="s">
        <v>1466</v>
      </c>
      <c r="B29" s="87">
        <v>11</v>
      </c>
      <c r="C29" s="87">
        <v>24</v>
      </c>
      <c r="D29" s="21">
        <v>9</v>
      </c>
      <c r="E29" s="21">
        <v>88</v>
      </c>
      <c r="F29" s="21">
        <v>15</v>
      </c>
      <c r="G29" s="87">
        <v>72</v>
      </c>
      <c r="H29" s="21" t="s">
        <v>1510</v>
      </c>
      <c r="I29" s="182">
        <v>6.0057870370370373E-2</v>
      </c>
      <c r="J29" s="113">
        <v>3.460648148148148E-3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2.75">
      <c r="A30" s="20" t="s">
        <v>21</v>
      </c>
      <c r="B30" s="29">
        <v>64</v>
      </c>
      <c r="C30" s="29">
        <v>55</v>
      </c>
      <c r="D30" s="90">
        <v>31</v>
      </c>
      <c r="E30" s="33">
        <v>58</v>
      </c>
      <c r="F30" s="90">
        <v>18</v>
      </c>
      <c r="G30" s="29">
        <v>119</v>
      </c>
      <c r="H30" s="29" t="s">
        <v>1510</v>
      </c>
      <c r="I30" s="114">
        <v>3.6122685185185188E-2</v>
      </c>
      <c r="J30" s="182">
        <v>2.3148148148148147E-3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2.75">
      <c r="A31" s="20" t="s">
        <v>1287</v>
      </c>
      <c r="B31" s="90">
        <v>19</v>
      </c>
      <c r="C31" s="90">
        <v>28</v>
      </c>
      <c r="D31" s="21">
        <v>14</v>
      </c>
      <c r="E31" s="33">
        <v>0</v>
      </c>
      <c r="F31" s="21">
        <v>0</v>
      </c>
      <c r="G31" s="87">
        <v>60</v>
      </c>
      <c r="H31" s="29" t="s">
        <v>1545</v>
      </c>
      <c r="I31" s="114">
        <v>1.8136574074074076E-2</v>
      </c>
      <c r="J31" s="109">
        <v>1.2268518518518518E-3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2.75">
      <c r="A32" s="20" t="s">
        <v>41</v>
      </c>
      <c r="B32" s="90">
        <v>25</v>
      </c>
      <c r="C32" s="29">
        <v>41</v>
      </c>
      <c r="D32" s="21">
        <v>19</v>
      </c>
      <c r="E32" s="33">
        <v>95</v>
      </c>
      <c r="F32" s="87">
        <v>17</v>
      </c>
      <c r="G32" s="87">
        <v>42</v>
      </c>
      <c r="H32" s="29" t="s">
        <v>1576</v>
      </c>
      <c r="I32" s="182">
        <v>5.199074074074074E-2</v>
      </c>
      <c r="J32" s="114">
        <v>1.2962962962962963E-3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2.75">
      <c r="A33" s="20" t="s">
        <v>135</v>
      </c>
      <c r="B33" s="29">
        <v>72</v>
      </c>
      <c r="C33" s="29">
        <v>75</v>
      </c>
      <c r="D33" s="87">
        <v>24</v>
      </c>
      <c r="E33" s="33">
        <v>55</v>
      </c>
      <c r="F33" s="127" t="s">
        <v>1222</v>
      </c>
      <c r="G33" s="127" t="s">
        <v>1616</v>
      </c>
      <c r="H33" s="115" t="s">
        <v>1556</v>
      </c>
      <c r="I33" s="155" t="s">
        <v>1617</v>
      </c>
      <c r="J33" s="113">
        <v>6.7013888888888887E-3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2.75">
      <c r="A34" s="20" t="s">
        <v>796</v>
      </c>
      <c r="B34" s="103">
        <v>74</v>
      </c>
      <c r="C34" s="103">
        <v>50</v>
      </c>
      <c r="D34" s="87">
        <v>25</v>
      </c>
      <c r="E34" s="33">
        <v>100</v>
      </c>
      <c r="F34" s="87">
        <v>24</v>
      </c>
      <c r="G34" s="21">
        <v>164</v>
      </c>
      <c r="H34" s="29" t="s">
        <v>1484</v>
      </c>
      <c r="I34" s="114">
        <v>2.7986111111111111E-2</v>
      </c>
      <c r="J34" s="109">
        <v>1.1574074074074073E-3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2.75">
      <c r="A35" s="20" t="s">
        <v>86</v>
      </c>
      <c r="B35" s="151">
        <v>8</v>
      </c>
      <c r="C35" s="151">
        <v>1</v>
      </c>
      <c r="D35" s="29">
        <v>15</v>
      </c>
      <c r="E35" s="33">
        <v>41</v>
      </c>
      <c r="F35" s="21">
        <v>4</v>
      </c>
      <c r="G35" s="87">
        <v>20</v>
      </c>
      <c r="H35" s="115" t="s">
        <v>1618</v>
      </c>
      <c r="I35" s="182">
        <v>5.7638888888888892E-2</v>
      </c>
      <c r="J35" s="113">
        <v>2.1759259259259258E-3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2.75">
      <c r="A36" s="20" t="s">
        <v>1475</v>
      </c>
      <c r="B36" s="29">
        <v>42</v>
      </c>
      <c r="C36" s="90">
        <v>37</v>
      </c>
      <c r="D36" s="29">
        <v>16</v>
      </c>
      <c r="E36" s="21">
        <v>65</v>
      </c>
      <c r="F36" s="21">
        <v>11</v>
      </c>
      <c r="G36" s="87">
        <v>84</v>
      </c>
      <c r="H36" s="29" t="s">
        <v>1511</v>
      </c>
      <c r="I36" s="182">
        <v>4.6875E-2</v>
      </c>
      <c r="J36" s="113">
        <v>2.7199074074074074E-3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2.75">
      <c r="A37" s="20" t="s">
        <v>1572</v>
      </c>
      <c r="B37" s="29">
        <v>79</v>
      </c>
      <c r="C37" s="90">
        <v>14</v>
      </c>
      <c r="D37" s="90">
        <v>29</v>
      </c>
      <c r="E37" s="21" t="s">
        <v>1145</v>
      </c>
      <c r="F37" s="21" t="s">
        <v>1145</v>
      </c>
      <c r="G37" s="21">
        <v>98</v>
      </c>
      <c r="H37" s="29" t="s">
        <v>1586</v>
      </c>
      <c r="I37" s="114">
        <v>3.1967592592592596E-2</v>
      </c>
      <c r="J37" s="113">
        <v>2.1296296296296298E-3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2.75">
      <c r="A38" s="20" t="s">
        <v>39</v>
      </c>
      <c r="B38" s="90">
        <v>13</v>
      </c>
      <c r="C38" s="29">
        <v>48</v>
      </c>
      <c r="D38" s="29">
        <v>17</v>
      </c>
      <c r="E38" s="33">
        <v>44</v>
      </c>
      <c r="F38" s="21">
        <v>13</v>
      </c>
      <c r="G38" s="21">
        <v>125</v>
      </c>
      <c r="H38" s="103" t="s">
        <v>1546</v>
      </c>
      <c r="I38" s="114">
        <v>2.6712962962962963E-2</v>
      </c>
      <c r="J38" s="109">
        <v>1.3773148148148147E-3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2.75">
      <c r="A39" s="20" t="s">
        <v>1478</v>
      </c>
      <c r="B39" s="29">
        <v>61</v>
      </c>
      <c r="C39" s="29">
        <v>57</v>
      </c>
      <c r="D39" s="90">
        <v>38</v>
      </c>
      <c r="E39" s="21">
        <v>131</v>
      </c>
      <c r="F39" s="87">
        <v>21</v>
      </c>
      <c r="G39" s="21">
        <v>117</v>
      </c>
      <c r="H39" s="29" t="s">
        <v>1477</v>
      </c>
      <c r="I39" s="114">
        <v>1.7523148148148149E-2</v>
      </c>
      <c r="J39" s="109">
        <v>3.8194444444444446E-4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2.75">
      <c r="A40" s="20" t="s">
        <v>1537</v>
      </c>
      <c r="B40" s="90">
        <v>34</v>
      </c>
      <c r="C40" s="29">
        <v>55</v>
      </c>
      <c r="D40" s="90">
        <v>25</v>
      </c>
      <c r="E40" s="21">
        <v>48</v>
      </c>
      <c r="F40" s="21">
        <v>6</v>
      </c>
      <c r="G40" s="87">
        <v>89</v>
      </c>
      <c r="H40" s="29" t="s">
        <v>1495</v>
      </c>
      <c r="I40" s="114">
        <v>3.6689814814814814E-2</v>
      </c>
      <c r="J40" s="203">
        <v>1.9675925925925924E-3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2.75">
      <c r="A41" s="20" t="s">
        <v>1300</v>
      </c>
      <c r="B41" s="29">
        <v>59</v>
      </c>
      <c r="C41" s="29">
        <v>40</v>
      </c>
      <c r="D41" s="90">
        <v>29</v>
      </c>
      <c r="E41" s="33">
        <v>38</v>
      </c>
      <c r="F41" s="21">
        <v>6</v>
      </c>
      <c r="G41" s="21">
        <v>106</v>
      </c>
      <c r="H41" s="21" t="s">
        <v>1484</v>
      </c>
      <c r="I41" s="182">
        <v>4.8437500000000001E-2</v>
      </c>
      <c r="J41" s="109">
        <v>1.6782407407407408E-3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2.75">
      <c r="A42" s="20" t="s">
        <v>1573</v>
      </c>
      <c r="B42" s="29">
        <v>71</v>
      </c>
      <c r="C42" s="29">
        <v>44</v>
      </c>
      <c r="D42" s="90">
        <v>36</v>
      </c>
      <c r="E42" s="21" t="s">
        <v>1145</v>
      </c>
      <c r="F42" s="21" t="s">
        <v>1145</v>
      </c>
      <c r="G42" s="21">
        <v>126</v>
      </c>
      <c r="H42" s="29" t="s">
        <v>1477</v>
      </c>
      <c r="I42" s="114">
        <v>1.7418981481481483E-2</v>
      </c>
      <c r="J42" s="230">
        <v>1.4004629629629629E-3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2.75">
      <c r="A43" s="20" t="s">
        <v>1574</v>
      </c>
      <c r="B43" s="90">
        <v>13</v>
      </c>
      <c r="C43" s="90">
        <v>6</v>
      </c>
      <c r="D43" s="29">
        <v>15</v>
      </c>
      <c r="E43" s="21" t="s">
        <v>1145</v>
      </c>
      <c r="F43" s="21" t="s">
        <v>1145</v>
      </c>
      <c r="G43" s="21">
        <v>92</v>
      </c>
      <c r="H43" s="29" t="s">
        <v>1484</v>
      </c>
      <c r="I43" s="114">
        <v>3.6585648148148145E-2</v>
      </c>
      <c r="J43" s="114">
        <v>9.3749999999999997E-4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2.75">
      <c r="A44" s="20" t="s">
        <v>515</v>
      </c>
      <c r="B44" s="90">
        <v>1</v>
      </c>
      <c r="C44" s="90">
        <v>1</v>
      </c>
      <c r="D44" s="29">
        <v>0</v>
      </c>
      <c r="E44" s="33">
        <v>158</v>
      </c>
      <c r="F44" s="87">
        <v>19</v>
      </c>
      <c r="G44" s="87">
        <v>26</v>
      </c>
      <c r="H44" s="29" t="s">
        <v>1577</v>
      </c>
      <c r="I44" s="114">
        <v>3.1608796296296295E-2</v>
      </c>
      <c r="J44" s="114">
        <v>1.4467592592592592E-3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2.75">
      <c r="A45" s="20" t="s">
        <v>1575</v>
      </c>
      <c r="B45" s="29">
        <v>44</v>
      </c>
      <c r="C45" s="90">
        <v>2</v>
      </c>
      <c r="D45" s="90">
        <v>38</v>
      </c>
      <c r="E45" s="21" t="s">
        <v>1145</v>
      </c>
      <c r="F45" s="21" t="s">
        <v>1145</v>
      </c>
      <c r="G45" s="21">
        <v>114</v>
      </c>
      <c r="H45" s="29" t="s">
        <v>1302</v>
      </c>
      <c r="I45" s="114">
        <v>2.3425925925925926E-2</v>
      </c>
      <c r="J45" s="114">
        <v>1.4583333333333334E-3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2.75">
      <c r="A46" s="20" t="s">
        <v>1482</v>
      </c>
      <c r="B46" s="29">
        <v>79</v>
      </c>
      <c r="C46" s="29">
        <v>54</v>
      </c>
      <c r="D46" s="29">
        <v>17</v>
      </c>
      <c r="E46" s="21">
        <v>59</v>
      </c>
      <c r="F46" s="21">
        <v>11</v>
      </c>
      <c r="G46" s="21">
        <v>103</v>
      </c>
      <c r="H46" s="29" t="s">
        <v>1536</v>
      </c>
      <c r="I46" s="114">
        <v>2.6956018518518518E-2</v>
      </c>
      <c r="J46" s="114">
        <v>1.1689814814814816E-3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2.75">
      <c r="A47" s="20" t="s">
        <v>814</v>
      </c>
      <c r="B47" s="90">
        <v>25</v>
      </c>
      <c r="C47" s="90">
        <v>14</v>
      </c>
      <c r="D47" s="29">
        <v>13</v>
      </c>
      <c r="E47" s="33">
        <v>113</v>
      </c>
      <c r="F47" s="87">
        <v>26</v>
      </c>
      <c r="G47" s="87">
        <v>38</v>
      </c>
      <c r="H47" s="29">
        <v>5</v>
      </c>
      <c r="I47" s="182">
        <v>5.6736111111111112E-2</v>
      </c>
      <c r="J47" s="182">
        <v>2.2453703703703702E-3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2.75">
      <c r="A48" s="20" t="s">
        <v>1540</v>
      </c>
      <c r="B48" s="29">
        <v>74</v>
      </c>
      <c r="C48" s="90">
        <v>31</v>
      </c>
      <c r="D48" s="29">
        <v>17</v>
      </c>
      <c r="E48" s="21">
        <v>47</v>
      </c>
      <c r="F48" s="21">
        <v>3</v>
      </c>
      <c r="G48" s="87">
        <v>90</v>
      </c>
      <c r="H48" s="29" t="s">
        <v>1619</v>
      </c>
      <c r="I48" s="114">
        <v>2.3796296296296298E-2</v>
      </c>
      <c r="J48" s="224">
        <v>1.9791666666666668E-3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3.5" customHeight="1">
      <c r="A49" s="20" t="s">
        <v>1620</v>
      </c>
      <c r="B49" s="29">
        <v>40</v>
      </c>
      <c r="C49" s="29">
        <v>49</v>
      </c>
      <c r="D49" s="29">
        <v>17</v>
      </c>
      <c r="E49" s="169">
        <v>26</v>
      </c>
      <c r="F49" s="152" t="s">
        <v>1219</v>
      </c>
      <c r="G49" s="21">
        <v>106</v>
      </c>
      <c r="H49" s="29" t="s">
        <v>1584</v>
      </c>
      <c r="I49" s="182">
        <v>4.6770833333333331E-2</v>
      </c>
      <c r="J49" s="182">
        <v>6.0879629629629626E-3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2.75">
      <c r="A50" s="20" t="s">
        <v>1621</v>
      </c>
      <c r="B50" s="90">
        <v>7</v>
      </c>
      <c r="C50" s="90">
        <v>25</v>
      </c>
      <c r="D50" s="29">
        <v>18</v>
      </c>
      <c r="E50" s="169">
        <v>10</v>
      </c>
      <c r="F50" s="21">
        <v>3</v>
      </c>
      <c r="G50" s="87">
        <v>59</v>
      </c>
      <c r="H50" s="29" t="s">
        <v>1581</v>
      </c>
      <c r="I50" s="114">
        <v>3.6238425925925924E-2</v>
      </c>
      <c r="J50" s="109">
        <v>1.4814814814814814E-3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2.75">
      <c r="A51" s="20" t="s">
        <v>27</v>
      </c>
      <c r="B51" s="155" t="s">
        <v>1565</v>
      </c>
      <c r="C51" s="155" t="s">
        <v>1290</v>
      </c>
      <c r="D51" s="29">
        <v>7</v>
      </c>
      <c r="E51" s="169">
        <v>25</v>
      </c>
      <c r="F51" s="21">
        <v>3</v>
      </c>
      <c r="G51" s="155" t="s">
        <v>1494</v>
      </c>
      <c r="H51" s="29" t="s">
        <v>1289</v>
      </c>
      <c r="I51" s="182">
        <v>4.2870370370370371E-2</v>
      </c>
      <c r="J51" s="113">
        <v>2.4421296296296296E-3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2.75">
      <c r="A52" s="20" t="s">
        <v>38</v>
      </c>
      <c r="B52" s="29">
        <v>72</v>
      </c>
      <c r="C52" s="29">
        <v>62</v>
      </c>
      <c r="D52" s="29">
        <v>20</v>
      </c>
      <c r="E52" s="169">
        <v>26</v>
      </c>
      <c r="F52" s="21">
        <v>3</v>
      </c>
      <c r="G52" s="152" t="s">
        <v>1622</v>
      </c>
      <c r="H52" s="152" t="s">
        <v>1623</v>
      </c>
      <c r="I52" s="109">
        <v>2.2962962962962963E-2</v>
      </c>
      <c r="J52" s="208">
        <v>1.8171296296296297E-3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2.75">
      <c r="A53" s="20" t="s">
        <v>522</v>
      </c>
      <c r="B53" s="21">
        <v>127</v>
      </c>
      <c r="C53" s="29">
        <v>48</v>
      </c>
      <c r="D53" s="90">
        <v>27</v>
      </c>
      <c r="E53" s="169">
        <v>33</v>
      </c>
      <c r="F53" s="21">
        <v>5</v>
      </c>
      <c r="G53" s="21">
        <v>151</v>
      </c>
      <c r="H53" s="29" t="s">
        <v>1566</v>
      </c>
      <c r="I53" s="182">
        <v>5.8680555555555555E-2</v>
      </c>
      <c r="J53" s="113">
        <v>3.4953703703703705E-3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2.75">
      <c r="A54" s="20" t="s">
        <v>42</v>
      </c>
      <c r="B54" s="115" t="s">
        <v>1549</v>
      </c>
      <c r="C54" s="115" t="s">
        <v>1549</v>
      </c>
      <c r="D54" s="115" t="s">
        <v>1219</v>
      </c>
      <c r="E54" s="33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2.75">
      <c r="A55" s="20" t="s">
        <v>1496</v>
      </c>
      <c r="B55" s="21">
        <v>72</v>
      </c>
      <c r="C55" s="21">
        <v>57</v>
      </c>
      <c r="D55" s="21">
        <v>18</v>
      </c>
      <c r="E55" s="87">
        <v>5</v>
      </c>
      <c r="F55" s="21">
        <v>0</v>
      </c>
      <c r="G55" s="21">
        <v>133</v>
      </c>
      <c r="H55" s="21" t="s">
        <v>1477</v>
      </c>
      <c r="I55" s="109">
        <v>2.6180555555555554E-2</v>
      </c>
      <c r="J55" s="109">
        <v>1.0648148148148149E-3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">
      <c r="A56" s="156" t="s">
        <v>15</v>
      </c>
      <c r="B56" s="170">
        <v>1186</v>
      </c>
      <c r="C56" s="210">
        <v>918</v>
      </c>
      <c r="D56" s="210">
        <v>534</v>
      </c>
      <c r="E56" s="170">
        <v>1265</v>
      </c>
      <c r="F56" s="171">
        <v>208</v>
      </c>
      <c r="G56" s="184">
        <v>2134</v>
      </c>
      <c r="H56" s="171" t="s">
        <v>1310</v>
      </c>
      <c r="I56" s="180">
        <v>3.5011574074074077E-2</v>
      </c>
      <c r="J56" s="180">
        <v>2.0601851851851853E-3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">
      <c r="A57" s="156" t="s">
        <v>1174</v>
      </c>
      <c r="B57" s="177" t="s">
        <v>1548</v>
      </c>
      <c r="C57" s="177" t="s">
        <v>1503</v>
      </c>
      <c r="D57" s="165">
        <v>500</v>
      </c>
      <c r="E57" s="164">
        <v>1000</v>
      </c>
      <c r="F57" s="165">
        <v>400</v>
      </c>
      <c r="G57" s="164">
        <v>2500</v>
      </c>
      <c r="H57" s="166">
        <v>45781</v>
      </c>
      <c r="I57" s="167">
        <v>4.1666666666666664E-2</v>
      </c>
      <c r="J57" s="167">
        <v>2.0717592592592593E-3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">
      <c r="A58" s="156" t="s">
        <v>1177</v>
      </c>
      <c r="B58" s="164">
        <v>38</v>
      </c>
      <c r="C58" s="165">
        <v>38</v>
      </c>
      <c r="D58" s="165">
        <v>20</v>
      </c>
      <c r="E58" s="164">
        <v>38</v>
      </c>
      <c r="F58" s="165">
        <v>15</v>
      </c>
      <c r="G58" s="164">
        <v>96</v>
      </c>
      <c r="H58" s="165" t="s">
        <v>1203</v>
      </c>
      <c r="I58" s="167">
        <v>4.1655092592592591E-2</v>
      </c>
      <c r="J58" s="167">
        <v>1.6203703703703703E-3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">
      <c r="A59" s="199"/>
      <c r="B59" s="200"/>
      <c r="C59" s="139"/>
      <c r="D59" s="139"/>
      <c r="E59" s="200"/>
      <c r="F59" s="139"/>
      <c r="G59" s="200"/>
      <c r="H59" s="139"/>
      <c r="I59" s="201"/>
      <c r="J59" s="201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">
      <c r="A60" s="199"/>
      <c r="B60" s="200"/>
      <c r="C60" s="139"/>
      <c r="D60" s="139"/>
      <c r="E60" s="200"/>
      <c r="F60" s="139"/>
      <c r="G60" s="200"/>
      <c r="H60" s="139"/>
      <c r="I60" s="201"/>
      <c r="J60" s="20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">
      <c r="A61" s="199"/>
      <c r="B61" s="200"/>
      <c r="C61" s="139"/>
      <c r="D61" s="139"/>
      <c r="E61" s="200"/>
      <c r="F61" s="139"/>
      <c r="G61" s="200"/>
      <c r="H61" s="139"/>
      <c r="I61" s="201"/>
      <c r="J61" s="20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">
      <c r="A62" s="199"/>
      <c r="B62" s="200"/>
      <c r="C62" s="139"/>
      <c r="D62" s="139"/>
      <c r="E62" s="200"/>
      <c r="F62" s="139"/>
      <c r="G62" s="200"/>
      <c r="H62" s="139"/>
      <c r="I62" s="201"/>
      <c r="J62" s="20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26.25">
      <c r="A63" s="4" t="s">
        <v>1662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>
      <c r="A64" s="16" t="s">
        <v>77</v>
      </c>
      <c r="B64" s="101" t="s">
        <v>1138</v>
      </c>
      <c r="C64" s="81" t="s">
        <v>32</v>
      </c>
      <c r="D64" s="81" t="s">
        <v>33</v>
      </c>
      <c r="E64" s="81" t="s">
        <v>34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2.75">
      <c r="A65" s="31" t="s">
        <v>28</v>
      </c>
      <c r="B65" s="81">
        <v>0</v>
      </c>
      <c r="C65" s="81">
        <v>1</v>
      </c>
      <c r="D65" s="81">
        <v>44</v>
      </c>
      <c r="E65" s="81">
        <v>2</v>
      </c>
      <c r="G65" s="1"/>
      <c r="H65" s="1"/>
      <c r="I65" s="1"/>
      <c r="J65" s="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2.75">
      <c r="A66" s="20" t="s">
        <v>22</v>
      </c>
      <c r="B66" s="81">
        <v>110</v>
      </c>
      <c r="C66" s="21">
        <v>4</v>
      </c>
      <c r="D66" s="21">
        <v>87</v>
      </c>
      <c r="E66" s="21">
        <v>24</v>
      </c>
      <c r="G66" s="1"/>
      <c r="H66" s="1"/>
      <c r="I66" s="1"/>
      <c r="J66" s="1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2.75">
      <c r="A67" s="20" t="s">
        <v>25</v>
      </c>
      <c r="B67" s="21">
        <v>0</v>
      </c>
      <c r="C67" s="21">
        <v>0</v>
      </c>
      <c r="D67" s="21">
        <v>0</v>
      </c>
      <c r="E67" s="21">
        <v>0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2.75">
      <c r="A68" s="20" t="s">
        <v>18</v>
      </c>
      <c r="B68" s="26">
        <v>0</v>
      </c>
      <c r="C68" s="233">
        <v>1</v>
      </c>
      <c r="D68" s="26">
        <v>0</v>
      </c>
      <c r="E68" s="26">
        <v>0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2.75">
      <c r="A69" s="20" t="s">
        <v>12</v>
      </c>
      <c r="B69" s="21">
        <v>0</v>
      </c>
      <c r="C69" s="21">
        <v>3</v>
      </c>
      <c r="D69" s="21">
        <v>68</v>
      </c>
      <c r="E69" s="21">
        <v>1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2.75">
      <c r="A70" s="20" t="s">
        <v>519</v>
      </c>
      <c r="B70" s="29">
        <v>1</v>
      </c>
      <c r="C70" s="29">
        <v>1</v>
      </c>
      <c r="D70" s="33">
        <v>62</v>
      </c>
      <c r="E70" s="21">
        <v>0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>
      <c r="A71" s="16" t="s">
        <v>80</v>
      </c>
      <c r="B71" s="17" t="s">
        <v>1140</v>
      </c>
      <c r="C71" s="17" t="s">
        <v>1141</v>
      </c>
      <c r="D71" s="101" t="s">
        <v>32</v>
      </c>
      <c r="E71" s="240" t="s">
        <v>1143</v>
      </c>
      <c r="F71" s="261"/>
      <c r="G71" s="101" t="s">
        <v>1465</v>
      </c>
      <c r="H71" s="101" t="s">
        <v>31</v>
      </c>
      <c r="I71" s="81" t="s">
        <v>1144</v>
      </c>
      <c r="J71" s="81" t="s">
        <v>35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2.75">
      <c r="A72" s="202" t="s">
        <v>1466</v>
      </c>
      <c r="B72" s="87">
        <v>18</v>
      </c>
      <c r="C72" s="21">
        <v>42</v>
      </c>
      <c r="D72" s="21">
        <v>17</v>
      </c>
      <c r="E72" s="171">
        <v>57</v>
      </c>
      <c r="F72" s="87">
        <v>20</v>
      </c>
      <c r="G72" s="21">
        <v>179</v>
      </c>
      <c r="H72" s="21" t="s">
        <v>1542</v>
      </c>
      <c r="I72" s="114">
        <v>1.6712962962962964E-2</v>
      </c>
      <c r="J72" s="109">
        <v>4.1666666666666669E-4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2.75">
      <c r="A73" s="20" t="s">
        <v>21</v>
      </c>
      <c r="B73" s="90">
        <v>23</v>
      </c>
      <c r="C73" s="90">
        <v>32</v>
      </c>
      <c r="D73" s="29">
        <v>17</v>
      </c>
      <c r="E73" s="236">
        <v>41</v>
      </c>
      <c r="F73" s="29">
        <v>1</v>
      </c>
      <c r="G73" s="87">
        <v>74</v>
      </c>
      <c r="H73" s="29" t="s">
        <v>1624</v>
      </c>
      <c r="I73" s="114">
        <v>2.7893518518518519E-2</v>
      </c>
      <c r="J73" s="114">
        <v>1.2037037037037038E-3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2.75">
      <c r="A74" s="20" t="s">
        <v>1287</v>
      </c>
      <c r="B74" s="90">
        <v>26</v>
      </c>
      <c r="C74" s="29">
        <v>62</v>
      </c>
      <c r="D74" s="21">
        <v>24</v>
      </c>
      <c r="E74" s="33">
        <v>12</v>
      </c>
      <c r="F74" s="21">
        <v>0</v>
      </c>
      <c r="G74" s="21">
        <v>124</v>
      </c>
      <c r="H74" s="29" t="s">
        <v>1468</v>
      </c>
      <c r="I74" s="114">
        <v>3.0439814814814815E-2</v>
      </c>
      <c r="J74" s="109">
        <v>2.0601851851851853E-3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2.75">
      <c r="A75" s="20" t="s">
        <v>41</v>
      </c>
      <c r="B75" s="29">
        <v>43</v>
      </c>
      <c r="C75" s="29">
        <v>100</v>
      </c>
      <c r="D75" s="21">
        <v>17</v>
      </c>
      <c r="E75" s="236">
        <v>62</v>
      </c>
      <c r="F75" s="21">
        <v>13</v>
      </c>
      <c r="G75" s="21">
        <v>129</v>
      </c>
      <c r="H75" s="29" t="s">
        <v>1476</v>
      </c>
      <c r="I75" s="182">
        <v>7.7708333333333338E-2</v>
      </c>
      <c r="J75" s="182">
        <v>4.0393518518518521E-3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2.75">
      <c r="A76" s="20" t="s">
        <v>135</v>
      </c>
      <c r="B76" s="29">
        <v>54</v>
      </c>
      <c r="C76" s="29">
        <v>114</v>
      </c>
      <c r="D76" s="87">
        <v>32</v>
      </c>
      <c r="E76" s="33">
        <v>33</v>
      </c>
      <c r="F76" s="150" t="s">
        <v>1236</v>
      </c>
      <c r="G76" s="127" t="s">
        <v>1625</v>
      </c>
      <c r="H76" s="155" t="s">
        <v>1254</v>
      </c>
      <c r="I76" s="155" t="s">
        <v>1626</v>
      </c>
      <c r="J76" s="113">
        <v>5.0347222222222225E-3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2.75">
      <c r="A77" s="20" t="s">
        <v>796</v>
      </c>
      <c r="B77" s="103">
        <v>50</v>
      </c>
      <c r="C77" s="103">
        <v>64</v>
      </c>
      <c r="D77" s="87">
        <v>29</v>
      </c>
      <c r="E77" s="33">
        <v>24</v>
      </c>
      <c r="F77" s="21">
        <v>11</v>
      </c>
      <c r="G77" s="21">
        <v>153</v>
      </c>
      <c r="H77" s="29" t="s">
        <v>1555</v>
      </c>
      <c r="I77" s="114">
        <v>2.5613425925925925E-2</v>
      </c>
      <c r="J77" s="109">
        <v>1.1689814814814816E-3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2.75">
      <c r="A78" s="20" t="s">
        <v>209</v>
      </c>
      <c r="B78" s="103">
        <v>59</v>
      </c>
      <c r="C78" s="103">
        <v>75</v>
      </c>
      <c r="D78" s="29">
        <v>27</v>
      </c>
      <c r="E78" s="236">
        <v>58</v>
      </c>
      <c r="F78" s="21">
        <v>22</v>
      </c>
      <c r="G78" s="29">
        <v>162</v>
      </c>
      <c r="H78" s="29" t="s">
        <v>1546</v>
      </c>
      <c r="I78" s="114">
        <v>3.5324074074074077E-2</v>
      </c>
      <c r="J78" s="114">
        <v>1.261574074074074E-3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2.75">
      <c r="A79" s="20" t="s">
        <v>86</v>
      </c>
      <c r="B79" s="103">
        <v>0</v>
      </c>
      <c r="C79" s="103">
        <v>0</v>
      </c>
      <c r="D79" s="29">
        <v>0</v>
      </c>
      <c r="E79" s="29">
        <v>0</v>
      </c>
      <c r="F79" s="90">
        <v>0</v>
      </c>
      <c r="G79" s="29">
        <v>0</v>
      </c>
      <c r="H79" s="29">
        <v>0</v>
      </c>
      <c r="I79" s="29">
        <v>0</v>
      </c>
      <c r="J79" s="29">
        <v>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2.75">
      <c r="A80" s="20" t="s">
        <v>1475</v>
      </c>
      <c r="B80" s="90">
        <v>37</v>
      </c>
      <c r="C80" s="29">
        <v>61</v>
      </c>
      <c r="D80" s="90">
        <v>29</v>
      </c>
      <c r="E80" s="171">
        <v>59</v>
      </c>
      <c r="F80" s="21">
        <v>10</v>
      </c>
      <c r="G80" s="21">
        <v>137</v>
      </c>
      <c r="H80" s="29" t="s">
        <v>490</v>
      </c>
      <c r="I80" s="182">
        <v>4.7766203703703707E-2</v>
      </c>
      <c r="J80" s="113">
        <v>2.6041666666666665E-3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2.75">
      <c r="A81" s="20" t="s">
        <v>1572</v>
      </c>
      <c r="B81" s="29">
        <v>88</v>
      </c>
      <c r="C81" s="90">
        <v>10</v>
      </c>
      <c r="D81" s="29">
        <v>22</v>
      </c>
      <c r="E81" s="21" t="s">
        <v>1627</v>
      </c>
      <c r="F81" s="21" t="s">
        <v>1627</v>
      </c>
      <c r="G81" s="21">
        <v>129</v>
      </c>
      <c r="H81" s="29" t="s">
        <v>1628</v>
      </c>
      <c r="I81" s="114">
        <v>3.2962962962962965E-2</v>
      </c>
      <c r="J81" s="113">
        <v>2.6041666666666665E-3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2.75">
      <c r="A82" s="20" t="s">
        <v>39</v>
      </c>
      <c r="B82" s="90">
        <v>30</v>
      </c>
      <c r="C82" s="90">
        <v>26</v>
      </c>
      <c r="D82" s="29">
        <v>21</v>
      </c>
      <c r="E82" s="33">
        <v>22</v>
      </c>
      <c r="F82" s="21">
        <v>0</v>
      </c>
      <c r="G82" s="21">
        <v>126</v>
      </c>
      <c r="H82" s="103" t="s">
        <v>1288</v>
      </c>
      <c r="I82" s="114">
        <v>2.9363425925925925E-2</v>
      </c>
      <c r="J82" s="109">
        <v>1.4351851851851852E-3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2.75">
      <c r="A83" s="20" t="s">
        <v>1478</v>
      </c>
      <c r="B83" s="29">
        <v>82</v>
      </c>
      <c r="C83" s="29">
        <v>87</v>
      </c>
      <c r="D83" s="90">
        <v>29</v>
      </c>
      <c r="E83" s="171">
        <v>82</v>
      </c>
      <c r="F83" s="87">
        <v>20</v>
      </c>
      <c r="G83" s="21">
        <v>179</v>
      </c>
      <c r="H83" s="29" t="s">
        <v>1542</v>
      </c>
      <c r="I83" s="114">
        <v>1.9490740740740739E-2</v>
      </c>
      <c r="J83" s="109">
        <v>4.1666666666666669E-4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2.75">
      <c r="A84" s="20" t="s">
        <v>1537</v>
      </c>
      <c r="B84" s="90">
        <v>48</v>
      </c>
      <c r="C84" s="29">
        <v>70</v>
      </c>
      <c r="D84" s="29">
        <v>26</v>
      </c>
      <c r="E84" s="171">
        <v>46</v>
      </c>
      <c r="F84" s="21">
        <v>5</v>
      </c>
      <c r="G84" s="21">
        <v>122</v>
      </c>
      <c r="H84" s="29" t="s">
        <v>1532</v>
      </c>
      <c r="I84" s="114">
        <v>4.0937500000000002E-2</v>
      </c>
      <c r="J84" s="113">
        <v>2.5115740740740741E-3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2.75">
      <c r="A85" s="20" t="s">
        <v>1300</v>
      </c>
      <c r="B85" s="29">
        <v>48</v>
      </c>
      <c r="C85" s="29">
        <v>71</v>
      </c>
      <c r="D85" s="29">
        <v>22</v>
      </c>
      <c r="E85" s="236">
        <v>40</v>
      </c>
      <c r="F85" s="87">
        <v>16</v>
      </c>
      <c r="G85" s="21">
        <v>111</v>
      </c>
      <c r="H85" s="21" t="s">
        <v>1476</v>
      </c>
      <c r="I85" s="182">
        <v>5.1898148148148152E-2</v>
      </c>
      <c r="J85" s="109">
        <v>1.6782407407407408E-3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2.75">
      <c r="A86" s="20" t="s">
        <v>1573</v>
      </c>
      <c r="B86" s="29">
        <v>58</v>
      </c>
      <c r="C86" s="29">
        <v>64</v>
      </c>
      <c r="D86" s="90">
        <v>30</v>
      </c>
      <c r="E86" s="21" t="s">
        <v>1627</v>
      </c>
      <c r="F86" s="21" t="s">
        <v>1627</v>
      </c>
      <c r="G86" s="21">
        <v>136</v>
      </c>
      <c r="H86" s="29" t="s">
        <v>1533</v>
      </c>
      <c r="I86" s="114">
        <v>1.7280092592592593E-2</v>
      </c>
      <c r="J86" s="230">
        <v>1.5277777777777779E-3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2.75">
      <c r="A87" s="20" t="s">
        <v>1574</v>
      </c>
      <c r="B87" s="90">
        <v>18</v>
      </c>
      <c r="C87" s="29">
        <v>1</v>
      </c>
      <c r="D87" s="29">
        <v>23</v>
      </c>
      <c r="E87" s="21" t="s">
        <v>1627</v>
      </c>
      <c r="F87" s="21" t="s">
        <v>1627</v>
      </c>
      <c r="G87" s="21">
        <v>111</v>
      </c>
      <c r="H87" s="29" t="s">
        <v>1533</v>
      </c>
      <c r="I87" s="114">
        <v>2.3206018518518518E-2</v>
      </c>
      <c r="J87" s="114">
        <v>1.5740740740740741E-3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2.75">
      <c r="A88" s="20" t="s">
        <v>515</v>
      </c>
      <c r="B88" s="29">
        <v>1</v>
      </c>
      <c r="C88" s="29">
        <v>2</v>
      </c>
      <c r="D88" s="29">
        <v>4</v>
      </c>
      <c r="E88" s="236">
        <v>150</v>
      </c>
      <c r="F88" s="87">
        <v>29</v>
      </c>
      <c r="G88" s="87">
        <v>18</v>
      </c>
      <c r="H88" s="29">
        <v>5</v>
      </c>
      <c r="I88" s="182">
        <v>6.429398148148148E-2</v>
      </c>
      <c r="J88" s="114">
        <v>1.8171296296296297E-3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2.75">
      <c r="A89" s="20" t="s">
        <v>1575</v>
      </c>
      <c r="B89" s="29">
        <v>49</v>
      </c>
      <c r="C89" s="90">
        <v>31</v>
      </c>
      <c r="D89" s="29">
        <v>23</v>
      </c>
      <c r="E89" s="21" t="s">
        <v>1627</v>
      </c>
      <c r="F89" s="21" t="s">
        <v>1627</v>
      </c>
      <c r="G89" s="21">
        <v>108</v>
      </c>
      <c r="H89" s="29" t="s">
        <v>1498</v>
      </c>
      <c r="I89" s="114">
        <v>3.0729166666666665E-2</v>
      </c>
      <c r="J89" s="114">
        <v>1.6319444444444445E-3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2.75">
      <c r="A90" s="20" t="s">
        <v>1482</v>
      </c>
      <c r="B90" s="29">
        <v>72</v>
      </c>
      <c r="C90" s="29">
        <v>66</v>
      </c>
      <c r="D90" s="29">
        <v>19</v>
      </c>
      <c r="E90" s="21" t="s">
        <v>1627</v>
      </c>
      <c r="F90" s="21" t="s">
        <v>1627</v>
      </c>
      <c r="G90" s="21">
        <v>121</v>
      </c>
      <c r="H90" s="29" t="s">
        <v>490</v>
      </c>
      <c r="I90" s="114">
        <v>4.1805555555555554E-2</v>
      </c>
      <c r="J90" s="182">
        <v>2.4074074074074076E-3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2.75">
      <c r="A91" s="20" t="s">
        <v>814</v>
      </c>
      <c r="B91" s="29">
        <v>0</v>
      </c>
      <c r="C91" s="29">
        <v>0</v>
      </c>
      <c r="D91" s="29">
        <v>10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2.75">
      <c r="A92" s="20" t="s">
        <v>1540</v>
      </c>
      <c r="B92" s="29">
        <v>100</v>
      </c>
      <c r="C92" s="90">
        <v>10</v>
      </c>
      <c r="D92" s="29">
        <v>15</v>
      </c>
      <c r="E92" s="171">
        <v>50</v>
      </c>
      <c r="F92" s="21">
        <v>12</v>
      </c>
      <c r="G92" s="21">
        <v>109</v>
      </c>
      <c r="H92" s="29" t="s">
        <v>1310</v>
      </c>
      <c r="I92" s="182">
        <v>4.715277777777778E-2</v>
      </c>
      <c r="J92" s="182">
        <v>4.8495370370370368E-3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2.75">
      <c r="A93" s="20" t="s">
        <v>1629</v>
      </c>
      <c r="B93" s="29">
        <v>47</v>
      </c>
      <c r="C93" s="29">
        <v>78</v>
      </c>
      <c r="D93" s="29">
        <v>23</v>
      </c>
      <c r="E93" s="236">
        <v>38</v>
      </c>
      <c r="F93" s="152" t="s">
        <v>1550</v>
      </c>
      <c r="G93" s="21">
        <v>157</v>
      </c>
      <c r="H93" s="29" t="s">
        <v>1468</v>
      </c>
      <c r="I93" s="182">
        <v>5.5578703703703707E-2</v>
      </c>
      <c r="J93" s="182">
        <v>6.3773148148148148E-3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2.75">
      <c r="A94" s="20" t="s">
        <v>1630</v>
      </c>
      <c r="B94" s="90">
        <v>15</v>
      </c>
      <c r="C94" s="90">
        <v>36</v>
      </c>
      <c r="D94" s="29">
        <v>15</v>
      </c>
      <c r="E94" s="33">
        <v>25</v>
      </c>
      <c r="F94" s="21">
        <v>9</v>
      </c>
      <c r="G94" s="21">
        <v>102</v>
      </c>
      <c r="H94" s="29" t="s">
        <v>1495</v>
      </c>
      <c r="I94" s="182">
        <v>4.8495370370370369E-2</v>
      </c>
      <c r="J94" s="109">
        <v>1.9907407407407408E-3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2.75">
      <c r="A95" s="20" t="s">
        <v>27</v>
      </c>
      <c r="B95" s="115" t="s">
        <v>1441</v>
      </c>
      <c r="C95" s="155" t="s">
        <v>1631</v>
      </c>
      <c r="D95" s="29">
        <v>6</v>
      </c>
      <c r="E95" s="33">
        <v>17</v>
      </c>
      <c r="F95" s="21">
        <v>12</v>
      </c>
      <c r="G95" s="155" t="s">
        <v>1632</v>
      </c>
      <c r="H95" s="29" t="s">
        <v>1619</v>
      </c>
      <c r="I95" s="182">
        <v>6.535879629629629E-2</v>
      </c>
      <c r="J95" s="113">
        <v>1.0254629629629629E-2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2.75">
      <c r="A96" s="20" t="s">
        <v>38</v>
      </c>
      <c r="B96" s="29">
        <v>113</v>
      </c>
      <c r="C96" s="29">
        <v>88</v>
      </c>
      <c r="D96" s="29">
        <v>23</v>
      </c>
      <c r="E96" s="33">
        <v>41</v>
      </c>
      <c r="F96" s="21">
        <v>1</v>
      </c>
      <c r="G96" s="152" t="s">
        <v>1633</v>
      </c>
      <c r="H96" s="152" t="s">
        <v>1381</v>
      </c>
      <c r="I96" s="109">
        <v>2.9583333333333333E-2</v>
      </c>
      <c r="J96" s="113">
        <v>3.7499999999999999E-3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2.75">
      <c r="A97" s="20" t="s">
        <v>522</v>
      </c>
      <c r="B97" s="21">
        <v>74</v>
      </c>
      <c r="C97" s="90">
        <v>34</v>
      </c>
      <c r="D97" s="29">
        <v>15</v>
      </c>
      <c r="E97" s="33">
        <v>13</v>
      </c>
      <c r="F97" s="21">
        <v>4</v>
      </c>
      <c r="G97" s="21">
        <v>110</v>
      </c>
      <c r="H97" s="90" t="s">
        <v>1469</v>
      </c>
      <c r="I97" s="182">
        <v>7.1435185185185185E-2</v>
      </c>
      <c r="J97" s="113">
        <v>5.8217592592592592E-3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2.75">
      <c r="A98" s="20" t="s">
        <v>42</v>
      </c>
      <c r="B98" s="115" t="s">
        <v>1549</v>
      </c>
      <c r="C98" s="115" t="s">
        <v>1549</v>
      </c>
      <c r="D98" s="115" t="s">
        <v>1219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2.75">
      <c r="A99" s="20" t="s">
        <v>1496</v>
      </c>
      <c r="B99" s="21">
        <v>59</v>
      </c>
      <c r="C99" s="21">
        <v>83</v>
      </c>
      <c r="D99" s="87">
        <v>38</v>
      </c>
      <c r="E99" s="21">
        <v>21</v>
      </c>
      <c r="F99" s="21">
        <v>0</v>
      </c>
      <c r="G99" s="21">
        <v>163</v>
      </c>
      <c r="H99" s="21" t="s">
        <v>1533</v>
      </c>
      <c r="I99" s="109">
        <v>3.3796296296296297E-2</v>
      </c>
      <c r="J99" s="113">
        <v>2.2916666666666667E-3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">
      <c r="A100" s="156" t="s">
        <v>15</v>
      </c>
      <c r="B100" s="111">
        <v>1212</v>
      </c>
      <c r="C100" s="111">
        <v>1307</v>
      </c>
      <c r="D100" s="21">
        <v>566</v>
      </c>
      <c r="E100" s="111">
        <v>891</v>
      </c>
      <c r="F100" s="21">
        <v>185</v>
      </c>
      <c r="G100" s="111">
        <v>2760</v>
      </c>
      <c r="H100" s="21" t="s">
        <v>1597</v>
      </c>
      <c r="I100" s="109">
        <v>3.5729166666666666E-2</v>
      </c>
      <c r="J100" s="113">
        <v>2.5231481481481481E-3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">
      <c r="A101" s="156" t="s">
        <v>1174</v>
      </c>
      <c r="B101" s="177" t="s">
        <v>1548</v>
      </c>
      <c r="C101" s="177" t="s">
        <v>1503</v>
      </c>
      <c r="D101" s="165">
        <v>500</v>
      </c>
      <c r="E101" s="164">
        <v>1000</v>
      </c>
      <c r="F101" s="165">
        <v>400</v>
      </c>
      <c r="G101" s="164">
        <v>2500</v>
      </c>
      <c r="H101" s="166">
        <v>45781</v>
      </c>
      <c r="I101" s="167">
        <v>4.1666666666666664E-2</v>
      </c>
      <c r="J101" s="167">
        <v>2.0717592592592593E-3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">
      <c r="A102" s="156" t="s">
        <v>1177</v>
      </c>
      <c r="B102" s="164">
        <v>38</v>
      </c>
      <c r="C102" s="165">
        <v>38</v>
      </c>
      <c r="D102" s="165">
        <v>20</v>
      </c>
      <c r="E102" s="164">
        <v>38</v>
      </c>
      <c r="F102" s="165">
        <v>15</v>
      </c>
      <c r="G102" s="164">
        <v>96</v>
      </c>
      <c r="H102" s="165" t="s">
        <v>1634</v>
      </c>
      <c r="I102" s="167">
        <v>4.1655092592592591E-2</v>
      </c>
      <c r="J102" s="167">
        <v>1.6203703703703703E-3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2.75">
      <c r="F103" s="139"/>
      <c r="G103" s="200"/>
      <c r="H103" s="139"/>
      <c r="I103" s="201"/>
      <c r="J103" s="201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2.75">
      <c r="F104" s="139"/>
      <c r="G104" s="200"/>
      <c r="H104" s="139"/>
      <c r="I104" s="201"/>
      <c r="J104" s="201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2.75">
      <c r="F105" s="139"/>
      <c r="G105" s="200"/>
      <c r="H105" s="139"/>
      <c r="I105" s="201"/>
      <c r="J105" s="20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2.75">
      <c r="F106" s="139"/>
      <c r="G106" s="200"/>
      <c r="H106" s="139"/>
      <c r="I106" s="201"/>
      <c r="J106" s="201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26.25">
      <c r="A107" s="4" t="s">
        <v>1663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>
      <c r="A108" s="16" t="s">
        <v>77</v>
      </c>
      <c r="B108" s="101" t="s">
        <v>1138</v>
      </c>
      <c r="C108" s="81" t="s">
        <v>32</v>
      </c>
      <c r="D108" s="81" t="s">
        <v>33</v>
      </c>
      <c r="E108" s="81" t="s">
        <v>34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2.75">
      <c r="A109" s="31" t="s">
        <v>28</v>
      </c>
      <c r="B109" s="81">
        <v>0</v>
      </c>
      <c r="C109" s="81">
        <v>1</v>
      </c>
      <c r="D109" s="81">
        <v>19</v>
      </c>
      <c r="E109" s="81">
        <v>9</v>
      </c>
      <c r="G109" s="1"/>
      <c r="H109" s="1"/>
      <c r="I109" s="1"/>
      <c r="J109" s="1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2.75">
      <c r="A110" s="20" t="s">
        <v>22</v>
      </c>
      <c r="B110" s="81">
        <v>12</v>
      </c>
      <c r="C110" s="21">
        <v>9</v>
      </c>
      <c r="D110" s="21">
        <v>87</v>
      </c>
      <c r="E110" s="21">
        <v>32</v>
      </c>
      <c r="G110" s="1"/>
      <c r="H110" s="1"/>
      <c r="I110" s="1"/>
      <c r="J110" s="1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2.75">
      <c r="A111" s="20" t="s">
        <v>12</v>
      </c>
      <c r="B111" s="81">
        <v>0</v>
      </c>
      <c r="C111" s="81">
        <v>4</v>
      </c>
      <c r="D111" s="81">
        <v>52</v>
      </c>
      <c r="E111" s="81">
        <v>37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2.75">
      <c r="A112" s="20" t="s">
        <v>519</v>
      </c>
      <c r="B112" s="29">
        <v>0</v>
      </c>
      <c r="C112" s="29">
        <v>1</v>
      </c>
      <c r="D112" s="33">
        <v>57</v>
      </c>
      <c r="E112" s="21">
        <v>10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2.75">
      <c r="A113" s="202" t="s">
        <v>1496</v>
      </c>
      <c r="B113" s="237">
        <v>28</v>
      </c>
      <c r="C113" s="237">
        <v>8</v>
      </c>
      <c r="D113" s="33">
        <v>70</v>
      </c>
      <c r="E113" s="21">
        <v>2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2.75">
      <c r="A114" s="202" t="s">
        <v>38</v>
      </c>
      <c r="B114" s="237">
        <v>31</v>
      </c>
      <c r="C114" s="237">
        <v>16</v>
      </c>
      <c r="D114" s="33">
        <v>2</v>
      </c>
      <c r="E114" s="21">
        <v>50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>
      <c r="A115" s="16" t="s">
        <v>80</v>
      </c>
      <c r="B115" s="17" t="s">
        <v>1140</v>
      </c>
      <c r="C115" s="17" t="s">
        <v>1141</v>
      </c>
      <c r="D115" s="101" t="s">
        <v>32</v>
      </c>
      <c r="E115" s="101" t="s">
        <v>1465</v>
      </c>
      <c r="F115" s="101" t="s">
        <v>31</v>
      </c>
      <c r="G115" s="81" t="s">
        <v>1144</v>
      </c>
      <c r="H115" s="81" t="s">
        <v>35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2.75">
      <c r="A116" s="202" t="s">
        <v>1466</v>
      </c>
      <c r="B116" s="87">
        <v>25</v>
      </c>
      <c r="C116" s="21">
        <v>60</v>
      </c>
      <c r="D116" s="87">
        <v>21</v>
      </c>
      <c r="E116" s="21">
        <v>139</v>
      </c>
      <c r="F116" s="21" t="s">
        <v>1480</v>
      </c>
      <c r="G116" s="114">
        <v>2.5775462962962962E-2</v>
      </c>
      <c r="H116" s="109">
        <v>1.5740740740740741E-3</v>
      </c>
      <c r="I116" s="1" t="s">
        <v>1635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2.75">
      <c r="A117" s="20" t="s">
        <v>21</v>
      </c>
      <c r="B117" s="29">
        <v>38</v>
      </c>
      <c r="C117" s="90">
        <v>29</v>
      </c>
      <c r="D117" s="29">
        <v>16</v>
      </c>
      <c r="E117" s="87">
        <v>92</v>
      </c>
      <c r="F117" s="29" t="s">
        <v>184</v>
      </c>
      <c r="G117" s="114">
        <v>3.2604166666666663E-2</v>
      </c>
      <c r="H117" s="114">
        <v>1.3194444444444445E-3</v>
      </c>
      <c r="I117" s="1" t="s">
        <v>1635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2.75">
      <c r="A118" s="20" t="s">
        <v>1287</v>
      </c>
      <c r="B118" s="90">
        <v>20</v>
      </c>
      <c r="C118" s="29">
        <v>59</v>
      </c>
      <c r="D118" s="87">
        <v>30</v>
      </c>
      <c r="E118" s="21">
        <v>112</v>
      </c>
      <c r="F118" s="29" t="s">
        <v>1480</v>
      </c>
      <c r="G118" s="114">
        <v>2.5775462962962962E-2</v>
      </c>
      <c r="H118" s="109">
        <v>1.5740740740740741E-3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2.75">
      <c r="A119" s="20" t="s">
        <v>41</v>
      </c>
      <c r="B119" s="29">
        <v>39</v>
      </c>
      <c r="C119" s="29">
        <v>52</v>
      </c>
      <c r="D119" s="87">
        <v>22</v>
      </c>
      <c r="E119" s="21">
        <v>142</v>
      </c>
      <c r="F119" s="29" t="s">
        <v>1597</v>
      </c>
      <c r="G119" s="114">
        <v>4.1400462962962965E-2</v>
      </c>
      <c r="H119" s="114">
        <v>9.9537037037037042E-4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2.75">
      <c r="A120" s="20" t="s">
        <v>135</v>
      </c>
      <c r="B120" s="29">
        <v>44</v>
      </c>
      <c r="C120" s="29">
        <v>85</v>
      </c>
      <c r="D120" s="87">
        <v>33</v>
      </c>
      <c r="E120" s="127" t="s">
        <v>1625</v>
      </c>
      <c r="F120" s="115" t="s">
        <v>1542</v>
      </c>
      <c r="G120" s="115" t="s">
        <v>1636</v>
      </c>
      <c r="H120" s="208">
        <v>1.9907407407407408E-3</v>
      </c>
      <c r="I120" s="1" t="s">
        <v>1637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2.75">
      <c r="A121" s="20" t="s">
        <v>796</v>
      </c>
      <c r="B121" s="103">
        <v>84</v>
      </c>
      <c r="C121" s="103">
        <v>59</v>
      </c>
      <c r="D121" s="87">
        <v>31</v>
      </c>
      <c r="E121" s="21">
        <v>181</v>
      </c>
      <c r="F121" s="29" t="s">
        <v>1554</v>
      </c>
      <c r="G121" s="114">
        <v>3.2777777777777781E-2</v>
      </c>
      <c r="H121" s="109">
        <v>1.1805555555555556E-3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2.75">
      <c r="A122" s="20" t="s">
        <v>209</v>
      </c>
      <c r="B122" s="103">
        <v>62</v>
      </c>
      <c r="C122" s="103">
        <v>67</v>
      </c>
      <c r="D122" s="90">
        <v>25</v>
      </c>
      <c r="E122" s="29">
        <v>116</v>
      </c>
      <c r="F122" s="90" t="s">
        <v>1584</v>
      </c>
      <c r="G122" s="114">
        <v>3.5868055555555556E-2</v>
      </c>
      <c r="H122" s="114">
        <v>1.1342592592592593E-3</v>
      </c>
      <c r="I122" s="1" t="s">
        <v>1638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2.75">
      <c r="A123" s="20" t="s">
        <v>86</v>
      </c>
      <c r="B123" s="103">
        <v>0</v>
      </c>
      <c r="C123" s="103">
        <v>0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2.75">
      <c r="A124" s="20" t="s">
        <v>1475</v>
      </c>
      <c r="B124" s="90">
        <v>34</v>
      </c>
      <c r="C124" s="29">
        <v>62</v>
      </c>
      <c r="D124" s="29">
        <v>20</v>
      </c>
      <c r="E124" s="21">
        <v>123</v>
      </c>
      <c r="F124" s="29" t="s">
        <v>1597</v>
      </c>
      <c r="G124" s="114">
        <v>3.6400462962962961E-2</v>
      </c>
      <c r="H124" s="208">
        <v>1.8171296296296297E-3</v>
      </c>
      <c r="I124" s="1" t="s">
        <v>1635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2.75">
      <c r="A125" s="20" t="s">
        <v>1572</v>
      </c>
      <c r="B125" s="29">
        <v>113</v>
      </c>
      <c r="C125" s="29">
        <v>2</v>
      </c>
      <c r="D125" s="90">
        <v>33</v>
      </c>
      <c r="E125" s="21">
        <v>122</v>
      </c>
      <c r="F125" s="29" t="s">
        <v>1639</v>
      </c>
      <c r="G125" s="114">
        <v>3.2974537037037038E-2</v>
      </c>
      <c r="H125" s="113">
        <v>2.7083333333333334E-3</v>
      </c>
      <c r="I125" s="1" t="s">
        <v>54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2.75">
      <c r="A126" s="20" t="s">
        <v>39</v>
      </c>
      <c r="B126" s="29">
        <v>38</v>
      </c>
      <c r="C126" s="29">
        <v>39</v>
      </c>
      <c r="D126" s="90">
        <v>32</v>
      </c>
      <c r="E126" s="21">
        <v>179</v>
      </c>
      <c r="F126" s="103" t="s">
        <v>1581</v>
      </c>
      <c r="G126" s="114">
        <v>3.4895833333333334E-2</v>
      </c>
      <c r="H126" s="109">
        <v>1.5972222222222223E-3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2.75">
      <c r="A127" s="20" t="s">
        <v>1478</v>
      </c>
      <c r="B127" s="29">
        <v>98</v>
      </c>
      <c r="C127" s="29">
        <v>41</v>
      </c>
      <c r="D127" s="90">
        <v>33</v>
      </c>
      <c r="E127" s="21">
        <v>161</v>
      </c>
      <c r="F127" s="29" t="s">
        <v>1286</v>
      </c>
      <c r="G127" s="114">
        <v>1.5011574074074075E-2</v>
      </c>
      <c r="H127" s="109">
        <v>3.2407407407407406E-4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2.75">
      <c r="A128" s="20" t="s">
        <v>1537</v>
      </c>
      <c r="B128" s="29">
        <v>42</v>
      </c>
      <c r="C128" s="29">
        <v>41</v>
      </c>
      <c r="D128" s="29">
        <v>16</v>
      </c>
      <c r="E128" s="21">
        <v>214</v>
      </c>
      <c r="F128" s="29" t="s">
        <v>1302</v>
      </c>
      <c r="G128" s="114">
        <v>1.8449074074074073E-2</v>
      </c>
      <c r="H128" s="109">
        <v>1.2731481481481483E-3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2.75">
      <c r="A129" s="20" t="s">
        <v>1300</v>
      </c>
      <c r="B129" s="29">
        <v>41</v>
      </c>
      <c r="C129" s="29">
        <v>74</v>
      </c>
      <c r="D129" s="90">
        <v>39</v>
      </c>
      <c r="E129" s="21">
        <v>117</v>
      </c>
      <c r="F129" s="21" t="s">
        <v>1510</v>
      </c>
      <c r="G129" s="114">
        <v>4.0185185185185185E-2</v>
      </c>
      <c r="H129" s="109">
        <v>1.1574074074074073E-3</v>
      </c>
      <c r="I129" s="1" t="s">
        <v>1637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2.75">
      <c r="A130" s="20" t="s">
        <v>1573</v>
      </c>
      <c r="B130" s="29">
        <v>104</v>
      </c>
      <c r="C130" s="29">
        <v>39</v>
      </c>
      <c r="D130" s="90">
        <v>41</v>
      </c>
      <c r="E130" s="21">
        <v>151</v>
      </c>
      <c r="F130" s="29" t="s">
        <v>1289</v>
      </c>
      <c r="G130" s="114">
        <v>1.5034722222222222E-2</v>
      </c>
      <c r="H130" s="230">
        <v>1.0648148148148149E-3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2.75">
      <c r="A131" s="20" t="s">
        <v>1574</v>
      </c>
      <c r="B131" s="90">
        <v>27</v>
      </c>
      <c r="C131" s="29">
        <v>7</v>
      </c>
      <c r="D131" s="90">
        <v>40</v>
      </c>
      <c r="E131" s="21">
        <v>132</v>
      </c>
      <c r="F131" s="29" t="s">
        <v>1577</v>
      </c>
      <c r="G131" s="114">
        <v>2.0347222222222221E-2</v>
      </c>
      <c r="H131" s="114">
        <v>1.2847222222222223E-3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2.75">
      <c r="A132" s="20" t="s">
        <v>515</v>
      </c>
      <c r="B132" s="29">
        <v>2</v>
      </c>
      <c r="C132" s="29">
        <v>0</v>
      </c>
      <c r="D132" s="29">
        <v>1</v>
      </c>
      <c r="E132" s="21">
        <v>14</v>
      </c>
      <c r="F132" s="29" t="s">
        <v>1619</v>
      </c>
      <c r="G132" s="182">
        <v>5.9710648148148152E-2</v>
      </c>
      <c r="H132" s="114">
        <v>1.1458333333333333E-3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2.75">
      <c r="A133" s="20" t="s">
        <v>1575</v>
      </c>
      <c r="B133" s="90">
        <v>14</v>
      </c>
      <c r="C133" s="29">
        <v>49</v>
      </c>
      <c r="D133" s="29">
        <v>17</v>
      </c>
      <c r="E133" s="21">
        <v>117</v>
      </c>
      <c r="F133" s="29" t="s">
        <v>1468</v>
      </c>
      <c r="G133" s="114">
        <v>2.3125E-2</v>
      </c>
      <c r="H133" s="114">
        <v>1.5740740740740741E-3</v>
      </c>
      <c r="I133" s="1" t="s">
        <v>1635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2.75">
      <c r="A134" s="20" t="s">
        <v>1482</v>
      </c>
      <c r="B134" s="29">
        <v>82</v>
      </c>
      <c r="C134" s="29">
        <v>63</v>
      </c>
      <c r="D134" s="90">
        <v>40</v>
      </c>
      <c r="E134" s="21">
        <v>141</v>
      </c>
      <c r="F134" s="29" t="s">
        <v>1486</v>
      </c>
      <c r="G134" s="114">
        <v>2.5092592592592593E-2</v>
      </c>
      <c r="H134" s="114">
        <v>1.0069444444444444E-3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2.75">
      <c r="A135" s="20" t="s">
        <v>814</v>
      </c>
      <c r="B135" s="29">
        <v>7</v>
      </c>
      <c r="C135" s="90">
        <v>14</v>
      </c>
      <c r="D135" s="90">
        <v>23</v>
      </c>
      <c r="E135" s="29">
        <v>0</v>
      </c>
      <c r="F135" s="29">
        <v>0</v>
      </c>
      <c r="G135" s="29">
        <v>0</v>
      </c>
      <c r="H135" s="29">
        <v>0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2.75">
      <c r="A136" s="20" t="s">
        <v>1540</v>
      </c>
      <c r="B136" s="29">
        <v>70</v>
      </c>
      <c r="C136" s="90">
        <v>30</v>
      </c>
      <c r="D136" s="90">
        <v>23</v>
      </c>
      <c r="E136" s="21">
        <v>109</v>
      </c>
      <c r="F136" s="90" t="s">
        <v>185</v>
      </c>
      <c r="G136" s="114">
        <v>3.1759259259259258E-2</v>
      </c>
      <c r="H136" s="182">
        <v>2.8472222222222223E-3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2.75">
      <c r="A137" s="20" t="s">
        <v>1640</v>
      </c>
      <c r="B137" s="90">
        <v>35</v>
      </c>
      <c r="C137" s="29">
        <v>56</v>
      </c>
      <c r="D137" s="29">
        <v>18</v>
      </c>
      <c r="E137" s="21">
        <v>122</v>
      </c>
      <c r="F137" s="29" t="s">
        <v>1510</v>
      </c>
      <c r="G137" s="182">
        <v>4.6273148148148147E-2</v>
      </c>
      <c r="H137" s="182">
        <v>4.2592592592592595E-3</v>
      </c>
      <c r="I137" s="1" t="s">
        <v>1641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2.75">
      <c r="A138" s="20" t="s">
        <v>1642</v>
      </c>
      <c r="B138" s="90">
        <v>19</v>
      </c>
      <c r="C138" s="29">
        <v>41</v>
      </c>
      <c r="D138" s="90">
        <v>29</v>
      </c>
      <c r="E138" s="21">
        <v>123</v>
      </c>
      <c r="F138" s="29" t="s">
        <v>489</v>
      </c>
      <c r="G138" s="114">
        <v>2.642361111111111E-2</v>
      </c>
      <c r="H138" s="109">
        <v>1.2152777777777778E-3</v>
      </c>
      <c r="I138" s="63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2.75">
      <c r="A139" s="20" t="s">
        <v>522</v>
      </c>
      <c r="B139" s="21">
        <v>74</v>
      </c>
      <c r="C139" s="29">
        <v>57</v>
      </c>
      <c r="D139" s="90">
        <v>29</v>
      </c>
      <c r="E139" s="21">
        <v>153</v>
      </c>
      <c r="F139" s="29" t="s">
        <v>1498</v>
      </c>
      <c r="G139" s="114">
        <v>4.0752314814814818E-2</v>
      </c>
      <c r="H139" s="113">
        <v>2.2222222222222222E-3</v>
      </c>
      <c r="I139" s="238" t="s">
        <v>54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2.75">
      <c r="A140" s="20" t="s">
        <v>42</v>
      </c>
      <c r="B140" s="115" t="s">
        <v>1238</v>
      </c>
      <c r="C140" s="115" t="s">
        <v>1539</v>
      </c>
      <c r="D140" s="115" t="s">
        <v>1550</v>
      </c>
      <c r="E140" s="29">
        <v>0</v>
      </c>
      <c r="F140" s="29">
        <v>0</v>
      </c>
      <c r="G140" s="29">
        <v>0</v>
      </c>
      <c r="H140" s="29">
        <v>0</v>
      </c>
      <c r="I140" s="63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">
      <c r="A141" s="156" t="s">
        <v>15</v>
      </c>
      <c r="B141" s="170">
        <v>1112</v>
      </c>
      <c r="C141" s="170">
        <v>1026</v>
      </c>
      <c r="D141" s="210">
        <v>612</v>
      </c>
      <c r="E141" s="170">
        <v>2760</v>
      </c>
      <c r="F141" s="171" t="s">
        <v>1597</v>
      </c>
      <c r="G141" s="180">
        <v>3.1458333333333331E-2</v>
      </c>
      <c r="H141" s="180">
        <v>1.6087962962962963E-3</v>
      </c>
      <c r="I141" s="23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">
      <c r="A142" s="156" t="s">
        <v>1174</v>
      </c>
      <c r="B142" s="177" t="s">
        <v>1548</v>
      </c>
      <c r="C142" s="177" t="s">
        <v>1503</v>
      </c>
      <c r="D142" s="165">
        <v>500</v>
      </c>
      <c r="E142" s="164">
        <v>2500</v>
      </c>
      <c r="F142" s="166">
        <v>45781</v>
      </c>
      <c r="G142" s="167">
        <v>4.1666666666666664E-2</v>
      </c>
      <c r="H142" s="167">
        <v>2.0717592592592593E-3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">
      <c r="A143" s="156" t="s">
        <v>1177</v>
      </c>
      <c r="B143" s="164">
        <v>38</v>
      </c>
      <c r="C143" s="165">
        <v>38</v>
      </c>
      <c r="D143" s="165">
        <v>20</v>
      </c>
      <c r="E143" s="164">
        <v>96</v>
      </c>
      <c r="F143" s="165" t="s">
        <v>1634</v>
      </c>
      <c r="G143" s="167">
        <v>4.1655092592592591E-2</v>
      </c>
      <c r="H143" s="167">
        <v>1.6203703703703703E-3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2.75">
      <c r="F144" s="139"/>
      <c r="G144" s="200"/>
      <c r="H144" s="139"/>
      <c r="I144" s="201"/>
      <c r="J144" s="201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2.75">
      <c r="F145" s="139"/>
      <c r="G145" s="200"/>
      <c r="H145" s="139"/>
      <c r="I145" s="201"/>
      <c r="J145" s="201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2.75">
      <c r="F146" s="139"/>
      <c r="G146" s="200"/>
      <c r="H146" s="139"/>
      <c r="I146" s="201"/>
      <c r="J146" s="201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2.75">
      <c r="F147" s="139"/>
      <c r="G147" s="200"/>
      <c r="H147" s="139"/>
      <c r="I147" s="201"/>
      <c r="J147" s="201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26.25">
      <c r="A148" s="4" t="s">
        <v>1664</v>
      </c>
      <c r="I148" s="201"/>
      <c r="J148" s="201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>
      <c r="A149" s="16" t="s">
        <v>77</v>
      </c>
      <c r="B149" s="101" t="s">
        <v>1138</v>
      </c>
      <c r="C149" s="81" t="s">
        <v>32</v>
      </c>
      <c r="D149" s="81" t="s">
        <v>33</v>
      </c>
      <c r="E149" s="81" t="s">
        <v>34</v>
      </c>
      <c r="I149" s="201"/>
      <c r="J149" s="201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2.75">
      <c r="A150" s="31" t="s">
        <v>28</v>
      </c>
      <c r="B150" s="81">
        <v>1</v>
      </c>
      <c r="C150" s="81">
        <v>3</v>
      </c>
      <c r="D150" s="21">
        <v>10</v>
      </c>
      <c r="E150" s="81">
        <v>37</v>
      </c>
      <c r="G150" s="1"/>
      <c r="H150" s="1"/>
      <c r="I150" s="201"/>
      <c r="J150" s="201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2.75">
      <c r="A151" s="20" t="s">
        <v>22</v>
      </c>
      <c r="B151" s="81">
        <v>0</v>
      </c>
      <c r="C151" s="21">
        <v>5</v>
      </c>
      <c r="D151" s="21">
        <v>62</v>
      </c>
      <c r="E151" s="81">
        <v>36</v>
      </c>
      <c r="G151" s="1"/>
      <c r="H151" s="1"/>
      <c r="I151" s="201"/>
      <c r="J151" s="201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2.75">
      <c r="A152" s="20" t="s">
        <v>12</v>
      </c>
      <c r="B152" s="81">
        <v>0</v>
      </c>
      <c r="C152" s="81">
        <v>3</v>
      </c>
      <c r="D152" s="21">
        <v>33</v>
      </c>
      <c r="E152" s="21">
        <v>37</v>
      </c>
      <c r="I152" s="201"/>
      <c r="J152" s="201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2.75">
      <c r="A153" s="20" t="s">
        <v>519</v>
      </c>
      <c r="B153" s="29">
        <v>0</v>
      </c>
      <c r="C153" s="29">
        <v>0</v>
      </c>
      <c r="D153" s="81">
        <v>33</v>
      </c>
      <c r="E153" s="81">
        <v>10</v>
      </c>
      <c r="I153" s="201"/>
      <c r="J153" s="201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2.75">
      <c r="A154" s="202" t="s">
        <v>1496</v>
      </c>
      <c r="B154" s="237">
        <v>29</v>
      </c>
      <c r="C154" s="237">
        <v>13</v>
      </c>
      <c r="D154" s="21">
        <v>92</v>
      </c>
      <c r="E154" s="81">
        <v>0</v>
      </c>
      <c r="I154" s="201"/>
      <c r="J154" s="201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2.75">
      <c r="A155" s="202" t="s">
        <v>38</v>
      </c>
      <c r="B155" s="237">
        <v>22</v>
      </c>
      <c r="C155" s="237">
        <v>16</v>
      </c>
      <c r="D155" s="33">
        <v>48</v>
      </c>
      <c r="E155" s="21">
        <v>5</v>
      </c>
      <c r="I155" s="201"/>
      <c r="J155" s="201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>
      <c r="A156" s="16" t="s">
        <v>80</v>
      </c>
      <c r="B156" s="17" t="s">
        <v>1140</v>
      </c>
      <c r="C156" s="17" t="s">
        <v>1141</v>
      </c>
      <c r="D156" s="101" t="s">
        <v>32</v>
      </c>
      <c r="E156" s="101" t="s">
        <v>1465</v>
      </c>
      <c r="F156" s="101" t="s">
        <v>31</v>
      </c>
      <c r="G156" s="81" t="s">
        <v>1144</v>
      </c>
      <c r="H156" s="81" t="s">
        <v>35</v>
      </c>
      <c r="I156" s="201"/>
      <c r="J156" s="201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2.75">
      <c r="A157" s="202" t="s">
        <v>1466</v>
      </c>
      <c r="B157" s="29">
        <v>48</v>
      </c>
      <c r="C157" s="87">
        <v>23</v>
      </c>
      <c r="D157" s="87">
        <v>24</v>
      </c>
      <c r="E157" s="21">
        <v>122</v>
      </c>
      <c r="F157" s="21" t="s">
        <v>1511</v>
      </c>
      <c r="G157" s="182">
        <v>5.1423611111111114E-2</v>
      </c>
      <c r="H157" s="113">
        <v>1.9675925925925924E-3</v>
      </c>
      <c r="I157" s="201"/>
      <c r="J157" s="201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2.75">
      <c r="A158" s="20" t="s">
        <v>21</v>
      </c>
      <c r="B158" s="29">
        <v>78</v>
      </c>
      <c r="C158" s="29">
        <v>41</v>
      </c>
      <c r="D158" s="90">
        <v>27</v>
      </c>
      <c r="E158" s="21">
        <v>172</v>
      </c>
      <c r="F158" s="29" t="s">
        <v>1581</v>
      </c>
      <c r="G158" s="114">
        <v>3.3159722222222222E-2</v>
      </c>
      <c r="H158" s="182">
        <v>2.5347222222222221E-3</v>
      </c>
      <c r="I158" s="201"/>
      <c r="J158" s="201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2.75">
      <c r="A159" s="20" t="s">
        <v>1287</v>
      </c>
      <c r="B159" s="90">
        <v>17</v>
      </c>
      <c r="C159" s="90">
        <v>31</v>
      </c>
      <c r="D159" s="87">
        <v>29</v>
      </c>
      <c r="E159" s="87">
        <v>78</v>
      </c>
      <c r="F159" s="29" t="s">
        <v>1570</v>
      </c>
      <c r="G159" s="114">
        <v>2.7071759259259261E-2</v>
      </c>
      <c r="H159" s="109">
        <v>1.0763888888888889E-3</v>
      </c>
      <c r="I159" s="201"/>
      <c r="J159" s="201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2.75">
      <c r="A160" s="20" t="s">
        <v>41</v>
      </c>
      <c r="B160" s="90">
        <v>36</v>
      </c>
      <c r="C160" s="90">
        <v>19</v>
      </c>
      <c r="D160" s="21">
        <v>14</v>
      </c>
      <c r="E160" s="87">
        <v>73</v>
      </c>
      <c r="F160" s="29" t="s">
        <v>1484</v>
      </c>
      <c r="G160" s="182">
        <v>4.6863425925925926E-2</v>
      </c>
      <c r="H160" s="114">
        <v>9.837962962962962E-4</v>
      </c>
      <c r="I160" s="201"/>
      <c r="J160" s="201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2.75">
      <c r="A161" s="20" t="s">
        <v>135</v>
      </c>
      <c r="B161" s="29">
        <v>89</v>
      </c>
      <c r="C161" s="29">
        <v>47</v>
      </c>
      <c r="D161" s="87">
        <v>31</v>
      </c>
      <c r="E161" s="127" t="s">
        <v>1643</v>
      </c>
      <c r="F161" s="115" t="s">
        <v>1099</v>
      </c>
      <c r="G161" s="115" t="s">
        <v>1644</v>
      </c>
      <c r="H161" s="113">
        <v>2.9398148148148148E-3</v>
      </c>
      <c r="I161" s="201"/>
      <c r="J161" s="201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2.75">
      <c r="A162" s="20" t="s">
        <v>796</v>
      </c>
      <c r="B162" s="103">
        <v>63</v>
      </c>
      <c r="C162" s="151">
        <v>26</v>
      </c>
      <c r="D162" s="87">
        <v>34</v>
      </c>
      <c r="E162" s="21">
        <v>117</v>
      </c>
      <c r="F162" s="29" t="s">
        <v>1468</v>
      </c>
      <c r="G162" s="114">
        <v>2.3206018518518518E-2</v>
      </c>
      <c r="H162" s="109">
        <v>1.2037037037037038E-3</v>
      </c>
      <c r="I162" s="201"/>
      <c r="J162" s="201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2.75">
      <c r="A163" s="20" t="s">
        <v>209</v>
      </c>
      <c r="B163" s="103">
        <v>97</v>
      </c>
      <c r="C163" s="103">
        <v>42</v>
      </c>
      <c r="D163" s="90">
        <v>27</v>
      </c>
      <c r="E163" s="29">
        <v>225</v>
      </c>
      <c r="F163" s="29" t="s">
        <v>1624</v>
      </c>
      <c r="G163" s="114">
        <v>2.0324074074074074E-2</v>
      </c>
      <c r="H163" s="114">
        <v>8.9120370370370373E-4</v>
      </c>
      <c r="I163" s="201"/>
      <c r="J163" s="201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2.75">
      <c r="A164" s="20" t="s">
        <v>86</v>
      </c>
      <c r="B164" s="103">
        <v>0</v>
      </c>
      <c r="C164" s="103">
        <v>0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01"/>
      <c r="J164" s="201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2.75">
      <c r="A165" s="20" t="s">
        <v>1475</v>
      </c>
      <c r="B165" s="29">
        <v>96</v>
      </c>
      <c r="C165" s="29">
        <v>38</v>
      </c>
      <c r="D165" s="90">
        <v>23</v>
      </c>
      <c r="E165" s="21">
        <v>165</v>
      </c>
      <c r="F165" s="29" t="s">
        <v>1476</v>
      </c>
      <c r="G165" s="114">
        <v>3.0254629629629631E-2</v>
      </c>
      <c r="H165" s="113">
        <v>2.0717592592592593E-3</v>
      </c>
      <c r="I165" s="201"/>
      <c r="J165" s="201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2.75">
      <c r="A166" s="20" t="s">
        <v>1572</v>
      </c>
      <c r="B166" s="29">
        <v>109</v>
      </c>
      <c r="C166" s="29">
        <v>4</v>
      </c>
      <c r="D166" s="90">
        <v>24</v>
      </c>
      <c r="E166" s="21">
        <v>112</v>
      </c>
      <c r="F166" s="29" t="s">
        <v>1570</v>
      </c>
      <c r="G166" s="114">
        <v>3.8437499999999999E-2</v>
      </c>
      <c r="H166" s="113">
        <v>3.7962962962962963E-3</v>
      </c>
      <c r="I166" s="201"/>
      <c r="J166" s="201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2.75">
      <c r="A167" s="20" t="s">
        <v>39</v>
      </c>
      <c r="B167" s="90">
        <v>35</v>
      </c>
      <c r="C167" s="29">
        <v>43</v>
      </c>
      <c r="D167" s="90">
        <v>29</v>
      </c>
      <c r="E167" s="21">
        <v>108</v>
      </c>
      <c r="F167" s="103" t="s">
        <v>490</v>
      </c>
      <c r="G167" s="114">
        <v>3.8113425925925926E-2</v>
      </c>
      <c r="H167" s="109">
        <v>1.4583333333333334E-3</v>
      </c>
      <c r="I167" s="201"/>
      <c r="J167" s="20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2.75">
      <c r="A168" s="20" t="s">
        <v>1478</v>
      </c>
      <c r="B168" s="29">
        <v>79</v>
      </c>
      <c r="C168" s="90">
        <v>25</v>
      </c>
      <c r="D168" s="90">
        <v>32</v>
      </c>
      <c r="E168" s="21">
        <v>132</v>
      </c>
      <c r="F168" s="29" t="s">
        <v>1532</v>
      </c>
      <c r="G168" s="114">
        <v>1.3958333333333333E-2</v>
      </c>
      <c r="H168" s="109">
        <v>2.3148148148148149E-4</v>
      </c>
      <c r="I168" s="201"/>
      <c r="J168" s="20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2.75">
      <c r="A169" s="20" t="s">
        <v>1537</v>
      </c>
      <c r="B169" s="29">
        <v>45</v>
      </c>
      <c r="C169" s="90">
        <v>26</v>
      </c>
      <c r="D169" s="29">
        <v>20</v>
      </c>
      <c r="E169" s="21">
        <v>235</v>
      </c>
      <c r="F169" s="29" t="s">
        <v>1255</v>
      </c>
      <c r="G169" s="114">
        <v>1.5740740740740739E-2</v>
      </c>
      <c r="H169" s="113">
        <v>2.5000000000000001E-3</v>
      </c>
      <c r="I169" s="201"/>
      <c r="J169" s="201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2.75">
      <c r="A170" s="20" t="s">
        <v>1300</v>
      </c>
      <c r="B170" s="29">
        <v>67</v>
      </c>
      <c r="C170" s="90">
        <v>31</v>
      </c>
      <c r="D170" s="90">
        <v>26</v>
      </c>
      <c r="E170" s="21">
        <v>218</v>
      </c>
      <c r="F170" s="21" t="s">
        <v>1289</v>
      </c>
      <c r="G170" s="114">
        <v>1.8171296296296297E-2</v>
      </c>
      <c r="H170" s="109">
        <v>1.1574074074074073E-3</v>
      </c>
      <c r="I170" s="201"/>
      <c r="J170" s="201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2.75">
      <c r="A171" s="20" t="s">
        <v>1573</v>
      </c>
      <c r="B171" s="29">
        <v>66</v>
      </c>
      <c r="C171" s="90">
        <v>32</v>
      </c>
      <c r="D171" s="90">
        <v>40</v>
      </c>
      <c r="E171" s="21">
        <v>122</v>
      </c>
      <c r="F171" s="29" t="s">
        <v>1099</v>
      </c>
      <c r="G171" s="114">
        <v>1.5173611111111112E-2</v>
      </c>
      <c r="H171" s="230">
        <v>9.6064814814814819E-4</v>
      </c>
      <c r="I171" s="201"/>
      <c r="J171" s="201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2.75">
      <c r="A172" s="20" t="s">
        <v>1574</v>
      </c>
      <c r="B172" s="90">
        <v>34</v>
      </c>
      <c r="C172" s="90">
        <v>24</v>
      </c>
      <c r="D172" s="90">
        <v>35</v>
      </c>
      <c r="E172" s="21">
        <v>207</v>
      </c>
      <c r="F172" s="29" t="s">
        <v>1289</v>
      </c>
      <c r="G172" s="114">
        <v>1.2037037037037037E-2</v>
      </c>
      <c r="H172" s="114">
        <v>1.5625000000000001E-3</v>
      </c>
      <c r="I172" s="201"/>
      <c r="J172" s="201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2.75">
      <c r="A173" s="20" t="s">
        <v>515</v>
      </c>
      <c r="B173" s="90">
        <v>10</v>
      </c>
      <c r="C173" s="29">
        <v>3</v>
      </c>
      <c r="D173" s="29">
        <v>1</v>
      </c>
      <c r="E173" s="87">
        <v>26</v>
      </c>
      <c r="F173" s="29" t="s">
        <v>1619</v>
      </c>
      <c r="G173" s="114">
        <v>3.6273148148148152E-2</v>
      </c>
      <c r="H173" s="182">
        <v>1.7013888888888888E-3</v>
      </c>
      <c r="I173" s="201"/>
      <c r="J173" s="20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2.75">
      <c r="A174" s="20" t="s">
        <v>1575</v>
      </c>
      <c r="B174" s="29">
        <v>44</v>
      </c>
      <c r="C174" s="29">
        <v>56</v>
      </c>
      <c r="D174" s="90">
        <v>44</v>
      </c>
      <c r="E174" s="21">
        <v>167</v>
      </c>
      <c r="F174" s="29" t="s">
        <v>1097</v>
      </c>
      <c r="G174" s="114">
        <v>3.2083333333333332E-2</v>
      </c>
      <c r="H174" s="182">
        <v>2.3611111111111111E-3</v>
      </c>
      <c r="I174" s="201"/>
      <c r="J174" s="20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2.75">
      <c r="A175" s="20" t="s">
        <v>1482</v>
      </c>
      <c r="B175" s="29">
        <v>61</v>
      </c>
      <c r="C175" s="29">
        <v>42</v>
      </c>
      <c r="D175" s="90">
        <v>21</v>
      </c>
      <c r="E175" s="21">
        <v>110</v>
      </c>
      <c r="F175" s="29" t="s">
        <v>1288</v>
      </c>
      <c r="G175" s="114">
        <v>2.7974537037037037E-2</v>
      </c>
      <c r="H175" s="114">
        <v>1.1342592592592593E-3</v>
      </c>
      <c r="I175" s="201"/>
      <c r="J175" s="201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2.75">
      <c r="A176" s="20" t="s">
        <v>814</v>
      </c>
      <c r="B176" s="29">
        <v>0</v>
      </c>
      <c r="C176" s="29">
        <v>0</v>
      </c>
      <c r="D176" s="29">
        <v>5</v>
      </c>
      <c r="E176" s="29">
        <v>0</v>
      </c>
      <c r="F176" s="29">
        <v>0</v>
      </c>
      <c r="G176" s="29">
        <v>0</v>
      </c>
      <c r="H176" s="29">
        <v>0</v>
      </c>
      <c r="I176" s="201"/>
      <c r="J176" s="201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2.75">
      <c r="A177" s="20" t="s">
        <v>1540</v>
      </c>
      <c r="B177" s="29">
        <v>60</v>
      </c>
      <c r="C177" s="90">
        <v>16</v>
      </c>
      <c r="D177" s="90">
        <v>26</v>
      </c>
      <c r="E177" s="87">
        <v>85</v>
      </c>
      <c r="F177" s="29" t="s">
        <v>1495</v>
      </c>
      <c r="G177" s="114">
        <v>3.3055555555555553E-2</v>
      </c>
      <c r="H177" s="182">
        <v>2.685185185185185E-3</v>
      </c>
      <c r="I177" s="201"/>
      <c r="J177" s="201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2.75">
      <c r="A178" s="20" t="s">
        <v>1645</v>
      </c>
      <c r="B178" s="29">
        <v>44</v>
      </c>
      <c r="C178" s="90">
        <v>22</v>
      </c>
      <c r="D178" s="90">
        <v>26</v>
      </c>
      <c r="E178" s="21">
        <v>220</v>
      </c>
      <c r="F178" s="29" t="s">
        <v>1301</v>
      </c>
      <c r="G178" s="114">
        <v>1.2939814814814815E-2</v>
      </c>
      <c r="H178" s="182">
        <v>1.724537037037037E-3</v>
      </c>
      <c r="I178" s="201"/>
      <c r="J178" s="201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2.75">
      <c r="A179" s="20" t="s">
        <v>1646</v>
      </c>
      <c r="B179" s="90">
        <v>18</v>
      </c>
      <c r="C179" s="90">
        <v>10</v>
      </c>
      <c r="D179" s="90">
        <v>23</v>
      </c>
      <c r="E179" s="21">
        <v>180</v>
      </c>
      <c r="F179" s="29" t="s">
        <v>1495</v>
      </c>
      <c r="G179" s="114">
        <v>1.4513888888888889E-2</v>
      </c>
      <c r="H179" s="109">
        <v>1.2731481481481483E-3</v>
      </c>
      <c r="I179" s="201"/>
      <c r="J179" s="201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2.75">
      <c r="A180" s="20" t="s">
        <v>522</v>
      </c>
      <c r="B180" s="21">
        <v>73</v>
      </c>
      <c r="C180" s="90">
        <v>18</v>
      </c>
      <c r="D180" s="29">
        <v>8</v>
      </c>
      <c r="E180" s="21">
        <v>260</v>
      </c>
      <c r="F180" s="29" t="s">
        <v>1554</v>
      </c>
      <c r="G180" s="114">
        <v>2.6689814814814816E-2</v>
      </c>
      <c r="H180" s="113">
        <v>2.1296296296296298E-3</v>
      </c>
      <c r="I180" s="201"/>
      <c r="J180" s="20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2.75">
      <c r="A181" s="20" t="s">
        <v>42</v>
      </c>
      <c r="B181" s="115" t="s">
        <v>1549</v>
      </c>
      <c r="C181" s="115" t="s">
        <v>1549</v>
      </c>
      <c r="D181" s="115" t="s">
        <v>1549</v>
      </c>
      <c r="E181" s="29">
        <v>0</v>
      </c>
      <c r="F181" s="29">
        <v>0</v>
      </c>
      <c r="G181" s="29">
        <v>0</v>
      </c>
      <c r="H181" s="29">
        <v>0</v>
      </c>
      <c r="I181" s="201"/>
      <c r="J181" s="201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">
      <c r="A182" s="156" t="s">
        <v>15</v>
      </c>
      <c r="B182" s="170">
        <v>1269</v>
      </c>
      <c r="C182" s="184">
        <v>619</v>
      </c>
      <c r="D182" s="210">
        <v>569</v>
      </c>
      <c r="E182" s="170">
        <v>3134</v>
      </c>
      <c r="F182" s="171" t="s">
        <v>1598</v>
      </c>
      <c r="G182" s="180">
        <v>2.7025462962962963E-2</v>
      </c>
      <c r="H182" s="180">
        <v>1.7476851851851852E-3</v>
      </c>
      <c r="I182" s="201"/>
      <c r="J182" s="201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">
      <c r="A183" s="156" t="s">
        <v>1174</v>
      </c>
      <c r="B183" s="177" t="s">
        <v>1548</v>
      </c>
      <c r="C183" s="177" t="s">
        <v>1503</v>
      </c>
      <c r="D183" s="165">
        <v>500</v>
      </c>
      <c r="E183" s="164">
        <v>2500</v>
      </c>
      <c r="F183" s="166">
        <v>45781</v>
      </c>
      <c r="G183" s="167">
        <v>4.1666666666666664E-2</v>
      </c>
      <c r="H183" s="167">
        <v>2.0717592592592593E-3</v>
      </c>
      <c r="I183" s="201"/>
      <c r="J183" s="201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">
      <c r="A184" s="156" t="s">
        <v>1177</v>
      </c>
      <c r="B184" s="164">
        <v>38</v>
      </c>
      <c r="C184" s="165">
        <v>38</v>
      </c>
      <c r="D184" s="165">
        <v>20</v>
      </c>
      <c r="E184" s="164">
        <v>96</v>
      </c>
      <c r="F184" s="165" t="s">
        <v>1634</v>
      </c>
      <c r="G184" s="167">
        <v>4.1655092592592591E-2</v>
      </c>
      <c r="H184" s="167">
        <v>1.6203703703703703E-3</v>
      </c>
      <c r="I184" s="201"/>
      <c r="J184" s="201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2.75">
      <c r="F185" s="139"/>
      <c r="G185" s="200"/>
      <c r="H185" s="139"/>
      <c r="I185" s="201"/>
      <c r="J185" s="201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2.75">
      <c r="F186" s="139"/>
      <c r="G186" s="200"/>
      <c r="H186" s="139"/>
      <c r="I186" s="201"/>
      <c r="J186" s="201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2.75">
      <c r="F187" s="139"/>
      <c r="G187" s="200"/>
      <c r="H187" s="139"/>
      <c r="I187" s="201"/>
      <c r="J187" s="201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2.75">
      <c r="F188" s="139"/>
      <c r="G188" s="200"/>
      <c r="H188" s="139"/>
      <c r="I188" s="201"/>
      <c r="J188" s="201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2.75">
      <c r="F189" s="139"/>
      <c r="G189" s="200"/>
      <c r="H189" s="139"/>
      <c r="I189" s="201"/>
      <c r="J189" s="201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2.75">
      <c r="F190" s="139"/>
      <c r="G190" s="200"/>
      <c r="H190" s="139"/>
      <c r="I190" s="201"/>
      <c r="J190" s="201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2.75">
      <c r="F191" s="139"/>
      <c r="G191" s="200"/>
      <c r="H191" s="139"/>
      <c r="I191" s="201"/>
      <c r="J191" s="201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2.75">
      <c r="F192" s="139"/>
      <c r="G192" s="200"/>
      <c r="H192" s="139"/>
      <c r="I192" s="201"/>
      <c r="J192" s="201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6:30" ht="12.75">
      <c r="F193" s="139"/>
      <c r="G193" s="200"/>
      <c r="H193" s="139"/>
      <c r="I193" s="201"/>
      <c r="J193" s="201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6:30" ht="12.75">
      <c r="F194" s="139"/>
      <c r="G194" s="200"/>
      <c r="H194" s="139"/>
      <c r="I194" s="201"/>
      <c r="J194" s="201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6:30" ht="12.75">
      <c r="F195" s="139"/>
      <c r="G195" s="200"/>
      <c r="H195" s="139"/>
      <c r="I195" s="201"/>
      <c r="J195" s="201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6:30" ht="12.75">
      <c r="F196" s="139"/>
      <c r="G196" s="200"/>
      <c r="H196" s="139"/>
      <c r="I196" s="201"/>
      <c r="J196" s="201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6:30" ht="12.75">
      <c r="F197" s="139"/>
      <c r="G197" s="200"/>
      <c r="H197" s="139"/>
      <c r="I197" s="201"/>
      <c r="J197" s="201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6:30" ht="12.75">
      <c r="F198" s="139"/>
      <c r="G198" s="200"/>
      <c r="H198" s="139"/>
      <c r="I198" s="201"/>
      <c r="J198" s="201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6:30" ht="12.75">
      <c r="F199" s="139"/>
      <c r="G199" s="200"/>
      <c r="H199" s="139"/>
      <c r="I199" s="201"/>
      <c r="J199" s="201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6:30" ht="12.75">
      <c r="F200" s="139"/>
      <c r="G200" s="200"/>
      <c r="H200" s="139"/>
      <c r="I200" s="201"/>
      <c r="J200" s="201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6:30" ht="12.75">
      <c r="F201" s="139"/>
      <c r="G201" s="200"/>
      <c r="H201" s="139"/>
      <c r="I201" s="201"/>
      <c r="J201" s="201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6:30" ht="12.75">
      <c r="F202" s="139"/>
      <c r="G202" s="200"/>
      <c r="H202" s="139"/>
      <c r="I202" s="201"/>
      <c r="J202" s="201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6:30" ht="12.75">
      <c r="F203" s="139"/>
      <c r="G203" s="200"/>
      <c r="H203" s="139"/>
      <c r="I203" s="201"/>
      <c r="J203" s="201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6:30" ht="12.75">
      <c r="F204" s="139"/>
      <c r="G204" s="200"/>
      <c r="H204" s="139"/>
      <c r="I204" s="201"/>
      <c r="J204" s="201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6:30" ht="12.75">
      <c r="F205" s="139"/>
      <c r="G205" s="200"/>
      <c r="H205" s="139"/>
      <c r="I205" s="201"/>
      <c r="J205" s="201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6:30" ht="12.75">
      <c r="F206" s="139"/>
      <c r="G206" s="200"/>
      <c r="H206" s="139"/>
      <c r="I206" s="201"/>
      <c r="J206" s="201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</sheetData>
  <mergeCells count="2">
    <mergeCell ref="E28:F28"/>
    <mergeCell ref="E71:F71"/>
  </mergeCells>
  <conditionalFormatting sqref="G2:H8 J2:J8">
    <cfRule type="notContainsBlanks" dxfId="0" priority="1">
      <formula>LEN(TRIM(G2))&gt;0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JULHO 2025</vt:lpstr>
      <vt:lpstr>AGOSTO 2025</vt:lpstr>
      <vt:lpstr>SETEMBRO 2025</vt:lpstr>
      <vt:lpstr>OUTUBRO 2025</vt:lpstr>
      <vt:lpstr>NOVEMBRO 2025</vt:lpstr>
      <vt:lpstr>DEZEMBRO 2025</vt:lpstr>
      <vt:lpstr>JANEIRO 2026</vt:lpstr>
      <vt:lpstr>FEVEREIRO 2026</vt:lpstr>
      <vt:lpstr>MARÇO 2026</vt:lpstr>
      <vt:lpstr>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WORD</cp:lastModifiedBy>
  <dcterms:modified xsi:type="dcterms:W3CDTF">2026-04-28T13:59:38Z</dcterms:modified>
</cp:coreProperties>
</file>